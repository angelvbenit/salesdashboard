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excelr\ASSIGNMENTS\MY ASSIGNMENTS\EXCEL\"/>
    </mc:Choice>
  </mc:AlternateContent>
  <xr:revisionPtr revIDLastSave="0" documentId="8_{D74D36B2-BF83-4413-BA08-BB940C99BB57}" xr6:coauthVersionLast="47" xr6:coauthVersionMax="47" xr10:uidLastSave="{00000000-0000-0000-0000-000000000000}"/>
  <bookViews>
    <workbookView xWindow="-110" yWindow="-110" windowWidth="19420" windowHeight="11500" activeTab="1" xr2:uid="{5697E407-8B31-44B1-BE14-F1BB7283BF19}"/>
  </bookViews>
  <sheets>
    <sheet name="Calculations" sheetId="16" r:id="rId1"/>
    <sheet name="Final Dashboard" sheetId="14" r:id="rId2"/>
  </sheets>
  <definedNames>
    <definedName name="Slicer_Customer_Segment1">#N/A</definedName>
    <definedName name="Slicer_Order_Priority1">#N/A</definedName>
    <definedName name="Slicer_Product_Category1">#N/A</definedName>
    <definedName name="Timeline_Order_Date1">#N/A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0ff5ecff-8a05-43d9-984d-dac8b7ae0ac2" name="Orders" connection="Excel sample data set"/>
          <x15:modelTable id="Returns_505f123f-c6e7-4394-8b63-cac96ab51d30" name="Returns" connection="Excel sample data set"/>
          <x15:modelTable id="Users_e36ddf70-1e29-4dda-bc57-8ec21e5b389e" name="Users" connection="Excel sample data set"/>
        </x15:modelTables>
        <x15:modelRelationships>
          <x15:modelRelationship fromTable="Orders" fromColumn="Order ID" toTable="Returns" toColumn="Order ID"/>
          <x15:modelRelationship fromTable="Orders" fromColumn="Region" toTable="Users"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6" l="1"/>
  <c r="A5" i="16"/>
  <c r="A4" i="16"/>
  <c r="A7" i="16"/>
  <c r="A8"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725A57-DB32-4A69-9FC5-ADC1873D4A4C}" name="Excel sample data set" type="100" refreshedVersion="8">
    <extLst>
      <ext xmlns:x15="http://schemas.microsoft.com/office/spreadsheetml/2010/11/main" uri="{DE250136-89BD-433C-8126-D09CA5730AF9}">
        <x15:connection id="4c806cc6-bbf2-423c-b34e-2eb0a9f4bda5"/>
      </ext>
    </extLst>
  </connection>
  <connection id="2" xr16:uid="{EF98F9A2-2364-4910-A16E-885407A8B6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<sst xmlns="http://schemas.openxmlformats.org/spreadsheetml/2006/main" count="56" uniqueCount="41">
  <si>
    <t>Total Sales</t>
  </si>
  <si>
    <t>Total Profit</t>
  </si>
  <si>
    <t>Profit Margin %</t>
  </si>
  <si>
    <t>Row Labels</t>
  </si>
  <si>
    <t>Grand Total</t>
  </si>
  <si>
    <t>Jan</t>
  </si>
  <si>
    <t>Feb</t>
  </si>
  <si>
    <t>Mar</t>
  </si>
  <si>
    <t>Apr</t>
  </si>
  <si>
    <t>May</t>
  </si>
  <si>
    <t>Jun</t>
  </si>
  <si>
    <t>Number of Orders</t>
  </si>
  <si>
    <t>Regular Air</t>
  </si>
  <si>
    <t>Washington</t>
  </si>
  <si>
    <t>Ohio</t>
  </si>
  <si>
    <t>California</t>
  </si>
  <si>
    <t>Texas</t>
  </si>
  <si>
    <t>New York</t>
  </si>
  <si>
    <t>Oregon</t>
  </si>
  <si>
    <t>5165</t>
  </si>
  <si>
    <t>Express Air</t>
  </si>
  <si>
    <t>ZVV</t>
  </si>
  <si>
    <t>Okidata Pacemark 4410N Wide Format Dot Matrix Printer</t>
  </si>
  <si>
    <t>Polycom ViewStation™ ISDN Videoconferencing Unit</t>
  </si>
  <si>
    <t>Average days to ship</t>
  </si>
  <si>
    <t>Return Rate %</t>
  </si>
  <si>
    <t>Delivery Truck</t>
  </si>
  <si>
    <t>Chris</t>
  </si>
  <si>
    <t>Erin</t>
  </si>
  <si>
    <t>Sam</t>
  </si>
  <si>
    <t>William</t>
  </si>
  <si>
    <t>Sum of Profit</t>
  </si>
  <si>
    <t>Bangor</t>
  </si>
  <si>
    <t>Cincinnati</t>
  </si>
  <si>
    <t>Greenville</t>
  </si>
  <si>
    <t>Harrison</t>
  </si>
  <si>
    <t>Los Angeles</t>
  </si>
  <si>
    <t>New City</t>
  </si>
  <si>
    <t>Steubenville</t>
  </si>
  <si>
    <t>Thornton</t>
  </si>
  <si>
    <t>Woodburn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</si>
</sst>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0.00%;0.00%"/>
  </numFmts>
  <fonts count="1" x14ac:knownFonts="1">
    <font>
      <sz val="11"/>
      <color theme="1"/>
      <name val="Aptos Narrow"/>
      <family val="2"/>
      <scheme val="minor"/>
    </font>
  </fonts>
  <fills count="3">
    <fill>
      <patternFill patternType="none"/>
    </fill>
    <fill>
      <patternFill patternType="gray125"/>
    </fill>
    <fill>
      <patternFill patternType="solid">
        <fgColor rgb="FFFEF6E8"/>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165" fontId="0" fillId="0" borderId="0" xfId="0" applyNumberFormat="1"/>
  </cellXfs>
  <cellStyles count="1">
    <cellStyle name="Normal" xfId="0" builtinId="0"/>
  </cellStyles>
  <dxfs count="4">
    <dxf>
      <font>
        <b/>
        <i val="0"/>
        <sz val="15"/>
        <color rgb="FF990000"/>
        <name val="Aptos Narrow"/>
        <family val="2"/>
        <scheme val="minor"/>
      </font>
    </dxf>
    <dxf>
      <font>
        <b/>
        <i val="0"/>
        <sz val="15"/>
        <color rgb="FF99000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rgb="FFFDF7DB"/>
      </font>
      <fill>
        <patternFill>
          <bgColor rgb="FF800000"/>
        </patternFill>
      </fill>
    </dxf>
    <dxf>
      <font>
        <b/>
        <i val="0"/>
        <sz val="24"/>
        <color rgb="FF800000"/>
        <name val="Aptos Display"/>
        <family val="2"/>
        <scheme val="major"/>
      </font>
      <fill>
        <gradientFill type="path" left="0.5" right="0.5" top="0.5" bottom="0.5">
          <stop position="0">
            <color rgb="FFFFFFFF"/>
          </stop>
          <stop position="1">
            <color rgb="FFFDF7DB"/>
          </stop>
        </gradientFill>
      </fill>
      <border>
        <left style="thick">
          <color rgb="FF990000"/>
        </left>
        <right style="thick">
          <color rgb="FF990000"/>
        </right>
        <top style="thick">
          <color rgb="FF990000"/>
        </top>
        <bottom style="thick">
          <color rgb="FF990000"/>
        </bottom>
      </border>
    </dxf>
  </dxfs>
  <tableStyles count="2" defaultTableStyle="TableStyleMedium2" defaultPivotStyle="PivotStyleLight16">
    <tableStyle name="Slicer Style 1" pivot="0" table="0" count="5" xr9:uid="{38409258-C355-44DF-BA1F-C1F2673762AE}">
      <tableStyleElement type="wholeTable" dxfId="3"/>
      <tableStyleElement type="headerRow" dxfId="2"/>
    </tableStyle>
    <tableStyle name="Timeline Style 1" pivot="0" table="0" count="8" xr9:uid="{ECB8A99E-BF80-41AB-AAA6-23070DAE5137}">
      <tableStyleElement type="wholeTable" dxfId="1"/>
      <tableStyleElement type="headerRow" dxfId="0"/>
    </tableStyle>
  </tableStyles>
  <colors>
    <mruColors>
      <color rgb="FFF5F5BD"/>
      <color rgb="FF990000"/>
      <color rgb="FFFDF7DB"/>
      <color rgb="FFFFC693"/>
      <color rgb="FFFFFFC1"/>
      <color rgb="FF800000"/>
      <color rgb="FFFFFFFF"/>
      <color rgb="FF993300"/>
      <color rgb="FFC11111"/>
      <color rgb="FF663300"/>
    </mruColors>
  </colors>
  <extLst>
    <ext xmlns:x14="http://schemas.microsoft.com/office/spreadsheetml/2009/9/main" uri="{46F421CA-312F-682f-3DD2-61675219B42D}">
      <x14:dxfs count="3">
        <dxf>
          <fill>
            <patternFill>
              <bgColor rgb="FFFFFFC1"/>
            </patternFill>
          </fill>
        </dxf>
        <dxf>
          <fill>
            <patternFill patternType="solid">
              <fgColor auto="1"/>
              <bgColor rgb="FFFFFFC1"/>
            </patternFill>
          </fill>
        </dxf>
        <dxf>
          <fill>
            <gradientFill type="path" left="0.5" right="0.5" top="0.5" bottom="0.5">
              <stop position="0">
                <color theme="0"/>
              </stop>
              <stop position="1">
                <color rgb="FFFDF7DB"/>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rgb="FFF5F5BD"/>
            </patternFill>
          </fill>
        </dxf>
        <dxf>
          <fill>
            <patternFill patternType="solid">
              <fgColor theme="0"/>
              <bgColor theme="5" tint="0.59996337778862885"/>
            </patternFill>
          </fill>
        </dxf>
        <dxf>
          <font>
            <b/>
            <i val="0"/>
            <sz val="10"/>
            <color rgb="FF990000"/>
            <name val="Aptos Narrow"/>
            <family val="2"/>
            <scheme val="minor"/>
          </font>
        </dxf>
        <dxf>
          <font>
            <b/>
            <i val="0"/>
            <sz val="10"/>
            <color rgb="FFC00000"/>
            <name val="Aptos Narrow"/>
            <family val="2"/>
            <scheme val="minor"/>
          </font>
        </dxf>
        <dxf>
          <font>
            <b/>
            <i val="0"/>
            <sz val="10"/>
            <color rgb="FF990000"/>
            <name val="Aptos Narrow"/>
            <family val="2"/>
            <scheme val="minor"/>
          </font>
        </dxf>
        <dxf>
          <font>
            <b/>
            <i val="0"/>
            <sz val="10"/>
            <color rgb="FFC0000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56"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11/relationships/timelineCache" Target="timelineCaches/timeline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[SalesDashboard.xlsx]Calculations!SALES&amp;PROFIT_TREND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0" u="none" strike="noStrike" baseline="0">
                <a:solidFill>
                  <a:schemeClr val="tx1"/>
                </a:solidFill>
              </a:rPr>
              <a:t>Sales &amp; Profitability Trend</a:t>
            </a:r>
            <a:endParaRPr lang="en-US" sz="2000" b="1">
              <a:solidFill>
                <a:schemeClr val="tx1"/>
              </a:solidFill>
            </a:endParaRPr>
          </a:p>
        </c:rich>
      </c:tx>
      <c:layout>
        <c:manualLayout>
          <c:xMode val="edge"/>
          <c:yMode val="edge"/>
          <c:x val="8.2695599504911364E-3"/>
          <c:y val="3.10299833210503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Calculations!$B$11</c:f>
              <c:strCache>
                <c:ptCount val="1"/>
                <c:pt idx="0">
                  <c:v>Total Sales</c:v>
                </c:pt>
              </c:strCache>
            </c:strRef>
          </c:tx>
          <c:spPr>
            <a:solidFill>
              <a:srgbClr val="99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Calculations!$B$12:$B$18</c:f>
              <c:numCache>
                <c:formatCode>0.00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5-4EC3-4856-BDE6-9A21A54939FD}"/>
            </c:ext>
          </c:extLst>
        </c:ser>
        <c:dLbls>
          <c:showLegendKey val="0"/>
          <c:showVal val="0"/>
          <c:showCatName val="0"/>
          <c:showSerName val="0"/>
          <c:showPercent val="0"/>
          <c:showBubbleSize val="0"/>
        </c:dLbls>
        <c:gapWidth val="112"/>
        <c:axId val="1715112815"/>
        <c:axId val="1715113295"/>
      </c:barChart>
      <c:lineChart>
        <c:grouping val="standard"/>
        <c:varyColors val="0"/>
        <c:ser>
          <c:idx val="1"/>
          <c:order val="1"/>
          <c:tx>
            <c:strRef>
              <c:f>Calculations!$C$11</c:f>
              <c:strCache>
                <c:ptCount val="1"/>
                <c:pt idx="0">
                  <c:v>Profit Margin %</c:v>
                </c:pt>
              </c:strCache>
            </c:strRef>
          </c:tx>
          <c:spPr>
            <a:ln w="28575" cap="rnd">
              <a:solidFill>
                <a:srgbClr val="FFC693"/>
              </a:solidFill>
              <a:round/>
            </a:ln>
            <a:effectLst/>
          </c:spPr>
          <c:marker>
            <c:symbol val="square"/>
            <c:size val="7"/>
            <c:spPr>
              <a:solidFill>
                <a:schemeClr val="accent2"/>
              </a:solidFill>
              <a:ln w="9525">
                <a:solidFill>
                  <a:schemeClr val="accent2"/>
                </a:solidFill>
              </a:ln>
              <a:effectLst/>
            </c:spPr>
          </c:marker>
          <c:cat>
            <c:strRef>
              <c:f>Calculations!$A$12:$A$18</c:f>
              <c:strCache>
                <c:ptCount val="6"/>
                <c:pt idx="0">
                  <c:v>Jan</c:v>
                </c:pt>
                <c:pt idx="1">
                  <c:v>Feb</c:v>
                </c:pt>
                <c:pt idx="2">
                  <c:v>Mar</c:v>
                </c:pt>
                <c:pt idx="3">
                  <c:v>Apr</c:v>
                </c:pt>
                <c:pt idx="4">
                  <c:v>May</c:v>
                </c:pt>
                <c:pt idx="5">
                  <c:v>Jun</c:v>
                </c:pt>
              </c:strCache>
            </c:strRef>
          </c:cat>
          <c:val>
            <c:numRef>
              <c:f>Calculations!$C$12:$C$18</c:f>
              <c:numCache>
                <c:formatCode>0%;\-0%;0%</c:formatCode>
                <c:ptCount val="6"/>
                <c:pt idx="0">
                  <c:v>3.7984103023755364E-3</c:v>
                </c:pt>
                <c:pt idx="1">
                  <c:v>0.11022538101505654</c:v>
                </c:pt>
                <c:pt idx="2">
                  <c:v>3.7968660694293619E-4</c:v>
                </c:pt>
                <c:pt idx="3">
                  <c:v>0.13633159750502755</c:v>
                </c:pt>
                <c:pt idx="4">
                  <c:v>0.21855458932837571</c:v>
                </c:pt>
                <c:pt idx="5">
                  <c:v>0.18807776768810308</c:v>
                </c:pt>
              </c:numCache>
            </c:numRef>
          </c:val>
          <c:smooth val="0"/>
          <c:extLst>
            <c:ext xmlns:c16="http://schemas.microsoft.com/office/drawing/2014/chart" uri="{C3380CC4-5D6E-409C-BE32-E72D297353CC}">
              <c16:uniqueId val="{00000006-4EC3-4856-BDE6-9A21A54939FD}"/>
            </c:ext>
          </c:extLst>
        </c:ser>
        <c:dLbls>
          <c:showLegendKey val="0"/>
          <c:showVal val="0"/>
          <c:showCatName val="0"/>
          <c:showSerName val="0"/>
          <c:showPercent val="0"/>
          <c:showBubbleSize val="0"/>
        </c:dLbls>
        <c:marker val="1"/>
        <c:smooth val="0"/>
        <c:axId val="1715148335"/>
        <c:axId val="1715157455"/>
      </c:lineChart>
      <c:catAx>
        <c:axId val="171511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13295"/>
        <c:crosses val="autoZero"/>
        <c:auto val="1"/>
        <c:lblAlgn val="ctr"/>
        <c:lblOffset val="100"/>
        <c:noMultiLvlLbl val="0"/>
      </c:catAx>
      <c:valAx>
        <c:axId val="1715113295"/>
        <c:scaling>
          <c:orientation val="minMax"/>
        </c:scaling>
        <c:delete val="0"/>
        <c:axPos val="l"/>
        <c:title>
          <c:tx>
            <c:rich>
              <a:bodyPr rot="-5400000" spcFirstLastPara="1" vertOverflow="ellipsis" vert="horz" wrap="square" anchor="ctr" anchorCtr="1"/>
              <a:lstStyle/>
              <a:p>
                <a:pPr>
                  <a:defRPr sz="100" b="1" i="0" u="none" strike="noStrike" kern="1200" baseline="0">
                    <a:solidFill>
                      <a:schemeClr val="tx1"/>
                    </a:solidFill>
                    <a:latin typeface="+mn-lt"/>
                    <a:ea typeface="+mn-ea"/>
                    <a:cs typeface="+mn-cs"/>
                  </a:defRPr>
                </a:pPr>
                <a:r>
                  <a:rPr lang="en-US" sz="1500" b="1" i="0" baseline="0">
                    <a:solidFill>
                      <a:schemeClr val="tx1"/>
                    </a:solidFill>
                  </a:rPr>
                  <a:t>TOTAL SALES</a:t>
                </a:r>
              </a:p>
            </c:rich>
          </c:tx>
          <c:overlay val="0"/>
          <c:spPr>
            <a:noFill/>
            <a:ln>
              <a:noFill/>
            </a:ln>
            <a:effectLst/>
          </c:spPr>
          <c:txPr>
            <a:bodyPr rot="-5400000" spcFirstLastPara="1" vertOverflow="ellipsis" vert="horz" wrap="square" anchor="ctr" anchorCtr="1"/>
            <a:lstStyle/>
            <a:p>
              <a:pPr>
                <a:defRPr sz="100" b="1"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12815"/>
        <c:crosses val="autoZero"/>
        <c:crossBetween val="between"/>
      </c:valAx>
      <c:valAx>
        <c:axId val="17151574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PROFIR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48335"/>
        <c:crosses val="max"/>
        <c:crossBetween val="between"/>
      </c:valAx>
      <c:catAx>
        <c:axId val="1715148335"/>
        <c:scaling>
          <c:orientation val="minMax"/>
        </c:scaling>
        <c:delete val="1"/>
        <c:axPos val="b"/>
        <c:numFmt formatCode="General" sourceLinked="1"/>
        <c:majorTickMark val="out"/>
        <c:minorTickMark val="none"/>
        <c:tickLblPos val="nextTo"/>
        <c:crossAx val="17151574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[SalesDashboard.xlsx]Calculations!MANAGERPERFORMANCE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MANAGER PERFORMANCE LEADERBOARD</a:t>
            </a:r>
          </a:p>
        </c:rich>
      </c:tx>
      <c:layout>
        <c:manualLayout>
          <c:xMode val="edge"/>
          <c:yMode val="edge"/>
          <c:x val="0.12675567470638888"/>
          <c:y val="5.33841593766363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8855775939399"/>
          <c:y val="0.28235687093864592"/>
          <c:w val="0.77709060101664507"/>
          <c:h val="0.50733276422200946"/>
        </c:manualLayout>
      </c:layout>
      <c:barChart>
        <c:barDir val="bar"/>
        <c:grouping val="clustered"/>
        <c:varyColors val="0"/>
        <c:ser>
          <c:idx val="0"/>
          <c:order val="0"/>
          <c:tx>
            <c:strRef>
              <c:f>Calculations!$B$24</c:f>
              <c:strCache>
                <c:ptCount val="1"/>
                <c:pt idx="0">
                  <c:v>Total</c:v>
                </c:pt>
              </c:strCache>
            </c:strRef>
          </c:tx>
          <c:spPr>
            <a:solidFill>
              <a:srgbClr val="990000"/>
            </a:solidFill>
            <a:ln>
              <a:noFill/>
            </a:ln>
            <a:effectLst/>
          </c:spPr>
          <c:invertIfNegative val="0"/>
          <c:dPt>
            <c:idx val="2"/>
            <c:invertIfNegative val="0"/>
            <c:bubble3D val="0"/>
            <c:extLst>
              <c:ext xmlns:c16="http://schemas.microsoft.com/office/drawing/2014/chart" uri="{C3380CC4-5D6E-409C-BE32-E72D297353CC}">
                <c16:uniqueId val="{00000002-6FD0-4F00-8692-7B7849EFE090}"/>
              </c:ext>
            </c:extLst>
          </c:dPt>
          <c:dLbls>
            <c:dLbl>
              <c:idx val="2"/>
              <c:layout>
                <c:manualLayout>
                  <c:x val="-0.10872396147418116"/>
                  <c:y val="-7.399844892391227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D0-4F00-8692-7B7849EFE090}"/>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Chris</c:v>
                </c:pt>
                <c:pt idx="1">
                  <c:v>Erin</c:v>
                </c:pt>
                <c:pt idx="2">
                  <c:v>Sam</c:v>
                </c:pt>
                <c:pt idx="3">
                  <c:v>William</c:v>
                </c:pt>
              </c:strCache>
            </c:strRef>
          </c:cat>
          <c:val>
            <c:numRef>
              <c:f>Calculations!$B$25:$B$29</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0-6FD0-4F00-8692-7B7849EFE090}"/>
            </c:ext>
          </c:extLst>
        </c:ser>
        <c:dLbls>
          <c:showLegendKey val="0"/>
          <c:showVal val="0"/>
          <c:showCatName val="0"/>
          <c:showSerName val="0"/>
          <c:showPercent val="0"/>
          <c:showBubbleSize val="0"/>
        </c:dLbls>
        <c:gapWidth val="62"/>
        <c:axId val="1715124335"/>
        <c:axId val="1715108495"/>
      </c:barChart>
      <c:catAx>
        <c:axId val="17151243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08495"/>
        <c:crosses val="autoZero"/>
        <c:auto val="1"/>
        <c:lblAlgn val="ctr"/>
        <c:lblOffset val="200"/>
        <c:noMultiLvlLbl val="0"/>
      </c:catAx>
      <c:valAx>
        <c:axId val="1715108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r>
                  <a:rPr lang="en-US" sz="1500" b="1"/>
                  <a:t>PROFIT</a:t>
                </a:r>
              </a:p>
            </c:rich>
          </c:tx>
          <c:layout>
            <c:manualLayout>
              <c:xMode val="edge"/>
              <c:yMode val="edge"/>
              <c:x val="0.45285190378599938"/>
              <c:y val="0.91275332650972363"/>
            </c:manualLayout>
          </c:layout>
          <c:overlay val="0"/>
          <c:spPr>
            <a:noFill/>
            <a:ln>
              <a:noFill/>
            </a:ln>
            <a:effectLst/>
          </c:spPr>
          <c:txPr>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51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[SalesDashboard.xlsx]Calculations!SHIPMENTMODE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00"/>
          </a:solidFill>
          <a:ln w="19050">
            <a:solidFill>
              <a:schemeClr val="lt1"/>
            </a:solidFill>
          </a:ln>
          <a:effectLst/>
        </c:spPr>
      </c:pivotFmt>
      <c:pivotFmt>
        <c:idx val="2"/>
        <c:spPr>
          <a:solidFill>
            <a:srgbClr val="FFC693"/>
          </a:solidFill>
          <a:ln w="19050">
            <a:solidFill>
              <a:schemeClr val="lt1"/>
            </a:solidFill>
          </a:ln>
          <a:effectLst/>
        </c:spPr>
      </c:pivotFmt>
      <c:pivotFmt>
        <c:idx val="3"/>
        <c:spPr>
          <a:solidFill>
            <a:srgbClr val="FDF7DB"/>
          </a:solidFill>
          <a:ln w="19050">
            <a:solidFill>
              <a:schemeClr val="lt1"/>
            </a:solidFill>
          </a:ln>
          <a:effectLst/>
        </c:spPr>
      </c:pivotFmt>
    </c:pivotFmts>
    <c:plotArea>
      <c:layout/>
      <c:pieChart>
        <c:varyColors val="1"/>
        <c:ser>
          <c:idx val="0"/>
          <c:order val="0"/>
          <c:tx>
            <c:strRef>
              <c:f>Calculations!$B$44</c:f>
              <c:strCache>
                <c:ptCount val="1"/>
                <c:pt idx="0">
                  <c:v>Total</c:v>
                </c:pt>
              </c:strCache>
            </c:strRef>
          </c:tx>
          <c:dPt>
            <c:idx val="0"/>
            <c:bubble3D val="0"/>
            <c:spPr>
              <a:solidFill>
                <a:srgbClr val="FFC693"/>
              </a:solidFill>
              <a:ln w="19050">
                <a:solidFill>
                  <a:schemeClr val="lt1"/>
                </a:solidFill>
              </a:ln>
              <a:effectLst/>
            </c:spPr>
            <c:extLst>
              <c:ext xmlns:c16="http://schemas.microsoft.com/office/drawing/2014/chart" uri="{C3380CC4-5D6E-409C-BE32-E72D297353CC}">
                <c16:uniqueId val="{00000003-8DB9-4774-97B0-54BEF2D1345F}"/>
              </c:ext>
            </c:extLst>
          </c:dPt>
          <c:dPt>
            <c:idx val="1"/>
            <c:bubble3D val="0"/>
            <c:spPr>
              <a:solidFill>
                <a:srgbClr val="FDF7DB"/>
              </a:solidFill>
              <a:ln w="19050">
                <a:solidFill>
                  <a:schemeClr val="lt1"/>
                </a:solidFill>
              </a:ln>
              <a:effectLst/>
            </c:spPr>
            <c:extLst>
              <c:ext xmlns:c16="http://schemas.microsoft.com/office/drawing/2014/chart" uri="{C3380CC4-5D6E-409C-BE32-E72D297353CC}">
                <c16:uniqueId val="{00000004-8DB9-4774-97B0-54BEF2D1345F}"/>
              </c:ext>
            </c:extLst>
          </c:dPt>
          <c:dPt>
            <c:idx val="2"/>
            <c:bubble3D val="0"/>
            <c:spPr>
              <a:solidFill>
                <a:srgbClr val="990000"/>
              </a:solidFill>
              <a:ln w="19050">
                <a:solidFill>
                  <a:schemeClr val="lt1"/>
                </a:solidFill>
              </a:ln>
              <a:effectLst/>
            </c:spPr>
            <c:extLst>
              <c:ext xmlns:c16="http://schemas.microsoft.com/office/drawing/2014/chart" uri="{C3380CC4-5D6E-409C-BE32-E72D297353CC}">
                <c16:uniqueId val="{00000002-8DB9-4774-97B0-54BEF2D1345F}"/>
              </c:ext>
            </c:extLst>
          </c:dPt>
          <c:cat>
            <c:strRef>
              <c:f>Calculations!$A$45:$A$48</c:f>
              <c:strCache>
                <c:ptCount val="3"/>
                <c:pt idx="0">
                  <c:v>Delivery Truck</c:v>
                </c:pt>
                <c:pt idx="1">
                  <c:v>Express Air</c:v>
                </c:pt>
                <c:pt idx="2">
                  <c:v>Regular Air</c:v>
                </c:pt>
              </c:strCache>
            </c:strRef>
          </c:cat>
          <c:val>
            <c:numRef>
              <c:f>Calculations!$B$45:$B$48</c:f>
              <c:numCache>
                <c:formatCode>0</c:formatCode>
                <c:ptCount val="3"/>
                <c:pt idx="0">
                  <c:v>262</c:v>
                </c:pt>
                <c:pt idx="1">
                  <c:v>229</c:v>
                </c:pt>
                <c:pt idx="2">
                  <c:v>1093</c:v>
                </c:pt>
              </c:numCache>
            </c:numRef>
          </c:val>
          <c:extLst>
            <c:ext xmlns:c16="http://schemas.microsoft.com/office/drawing/2014/chart" uri="{C3380CC4-5D6E-409C-BE32-E72D297353CC}">
              <c16:uniqueId val="{00000000-8DB9-4774-97B0-54BEF2D1345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48097112860892"/>
          <c:y val="0.34442038495188104"/>
          <c:w val="0.30678937007874013"/>
          <c:h val="0.33509623797025373"/>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[SalesDashboard.xlsx]Calculations!LEASTPROFITABLE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3 LEAST PROFITABLE PRODUCTS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Calculations!$B$60</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Calculations!$A$61:$A$64</c:f>
              <c:strCache>
                <c:ptCount val="3"/>
                <c:pt idx="0">
                  <c:v>5165</c:v>
                </c:pt>
                <c:pt idx="1">
                  <c:v>Okidata Pacemark 4410N Wide Format Dot Matrix Printer</c:v>
                </c:pt>
                <c:pt idx="2">
                  <c:v>Polycom ViewStation™ ISDN Videoconferencing Unit</c:v>
                </c:pt>
              </c:strCache>
            </c:strRef>
          </c:cat>
          <c:val>
            <c:numRef>
              <c:f>Calculations!$B$61:$B$64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7B08-42F2-B9E2-3D94CF1D72DD}"/>
            </c:ext>
          </c:extLst>
        </c:ser>
        <c:dLbls>
          <c:dLblPos val="inEnd"/>
          <c:showLegendKey val="0"/>
          <c:showVal val="1"/>
          <c:showCatName val="0"/>
          <c:showSerName val="0"/>
          <c:showPercent val="0"/>
          <c:showBubbleSize val="0"/>
        </c:dLbls>
        <c:gapWidth val="182"/>
        <c:axId val="1715207855"/>
        <c:axId val="1715208335"/>
      </c:barChart>
      <c:catAx>
        <c:axId val="1715207855"/>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500" b="1" i="0" u="none" strike="noStrike" kern="1200" baseline="0">
                <a:solidFill>
                  <a:schemeClr val="tx1"/>
                </a:solidFill>
                <a:latin typeface="+mn-lt"/>
                <a:ea typeface="+mn-ea"/>
                <a:cs typeface="+mn-cs"/>
              </a:defRPr>
            </a:pPr>
            <a:endParaRPr lang="en-US"/>
          </a:p>
        </c:txPr>
        <c:crossAx val="1715208335"/>
        <c:crosses val="autoZero"/>
        <c:auto val="0"/>
        <c:lblAlgn val="ctr"/>
        <c:lblOffset val="100"/>
        <c:noMultiLvlLbl val="0"/>
      </c:catAx>
      <c:valAx>
        <c:axId val="1715208335"/>
        <c:scaling>
          <c:orientation val="minMax"/>
          <c:min val="-30000"/>
        </c:scaling>
        <c:delete val="0"/>
        <c:axPos val="b"/>
        <c:numFmt formatCode="General" sourceLinked="1"/>
        <c:majorTickMark val="out"/>
        <c:minorTickMark val="none"/>
        <c:tickLblPos val="nextTo"/>
        <c:spPr>
          <a:noFill/>
          <a:ln>
            <a:solidFill>
              <a:srgbClr val="990000"/>
            </a:solid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71520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[SalesDashboard.xlsx]Calculations!TOP5PROFITABLESTATES</c:name>
    <c:fmtId val="0"/>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TOP 5 PROFTABLE STATES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Calculations!$B$83</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Calculations!$A$84:$A$89</c:f>
              <c:strCache>
                <c:ptCount val="5"/>
                <c:pt idx="0">
                  <c:v>California</c:v>
                </c:pt>
                <c:pt idx="1">
                  <c:v>New York</c:v>
                </c:pt>
                <c:pt idx="2">
                  <c:v>Ohio</c:v>
                </c:pt>
                <c:pt idx="3">
                  <c:v>Oregon</c:v>
                </c:pt>
                <c:pt idx="4">
                  <c:v>Texas</c:v>
                </c:pt>
              </c:strCache>
            </c:strRef>
          </c:cat>
          <c:val>
            <c:numRef>
              <c:f>Calculations!$B$84:$B$89</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1656-4A5C-93AD-18340B7BB6B8}"/>
            </c:ext>
          </c:extLst>
        </c:ser>
        <c:dLbls>
          <c:dLblPos val="inEnd"/>
          <c:showLegendKey val="0"/>
          <c:showVal val="1"/>
          <c:showCatName val="0"/>
          <c:showSerName val="0"/>
          <c:showPercent val="0"/>
          <c:showBubbleSize val="0"/>
        </c:dLbls>
        <c:gapWidth val="182"/>
        <c:axId val="1114628080"/>
        <c:axId val="1114628560"/>
      </c:barChart>
      <c:catAx>
        <c:axId val="11146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28560"/>
        <c:crosses val="autoZero"/>
        <c:auto val="1"/>
        <c:lblAlgn val="ctr"/>
        <c:lblOffset val="100"/>
        <c:noMultiLvlLbl val="0"/>
      </c:catAx>
      <c:valAx>
        <c:axId val="111462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[SalesDashboard.xlsx]Calculations!TOP10PROFITABLECITIES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Calculations!$B$99</c:f>
              <c:strCache>
                <c:ptCount val="1"/>
                <c:pt idx="0">
                  <c:v>Total</c:v>
                </c:pt>
              </c:strCache>
            </c:strRef>
          </c:tx>
          <c:spPr>
            <a:solidFill>
              <a:srgbClr val="990000"/>
            </a:solidFill>
            <a:ln>
              <a:solidFill>
                <a:srgbClr val="990000">
                  <a:alpha val="98000"/>
                </a:srgb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Calculations!$A$100:$A$110</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Calculations!$B$100:$B$110</c:f>
              <c:numCache>
                <c:formatCode>General</c:formatCode>
                <c:ptCount val="10"/>
                <c:pt idx="0">
                  <c:v>6621.0019999999995</c:v>
                </c:pt>
                <c:pt idx="1">
                  <c:v>7139.130149999999</c:v>
                </c:pt>
                <c:pt idx="2">
                  <c:v>7257.7599999999993</c:v>
                </c:pt>
                <c:pt idx="3">
                  <c:v>7495.0609999999997</c:v>
                </c:pt>
                <c:pt idx="4">
                  <c:v>7865.8371799999986</c:v>
                </c:pt>
                <c:pt idx="5">
                  <c:v>8658.9505800000006</c:v>
                </c:pt>
                <c:pt idx="6">
                  <c:v>8839.2294599999987</c:v>
                </c:pt>
                <c:pt idx="7">
                  <c:v>9243.2576999999983</c:v>
                </c:pt>
                <c:pt idx="8">
                  <c:v>9300.3400999999976</c:v>
                </c:pt>
                <c:pt idx="9">
                  <c:v>11677.363099999999</c:v>
                </c:pt>
              </c:numCache>
            </c:numRef>
          </c:val>
          <c:extLst>
            <c:ext xmlns:c16="http://schemas.microsoft.com/office/drawing/2014/chart" uri="{C3380CC4-5D6E-409C-BE32-E72D297353CC}">
              <c16:uniqueId val="{00000000-C1EE-4CB7-B2FC-B7F00F6E93C6}"/>
            </c:ext>
          </c:extLst>
        </c:ser>
        <c:dLbls>
          <c:dLblPos val="inEnd"/>
          <c:showLegendKey val="0"/>
          <c:showVal val="1"/>
          <c:showCatName val="0"/>
          <c:showSerName val="0"/>
          <c:showPercent val="0"/>
          <c:showBubbleSize val="0"/>
        </c:dLbls>
        <c:gapWidth val="89"/>
        <c:axId val="1114672720"/>
        <c:axId val="1114666960"/>
      </c:barChart>
      <c:catAx>
        <c:axId val="1114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66960"/>
        <c:crosses val="autoZero"/>
        <c:auto val="1"/>
        <c:lblAlgn val="ctr"/>
        <c:lblOffset val="100"/>
        <c:noMultiLvlLbl val="0"/>
      </c:catAx>
      <c:valAx>
        <c:axId val="111466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7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[SalesDashboard.xlsx]Calculations!SALES&amp;PROFIT_TREND</c:name>
    <c:fmtId val="9"/>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baseline="0">
                <a:solidFill>
                  <a:schemeClr val="tx1"/>
                </a:solidFill>
              </a:rPr>
              <a:t>Sales &amp; Profitability Trend</a:t>
            </a:r>
            <a:endParaRPr lang="en-US" sz="2400" b="1">
              <a:solidFill>
                <a:schemeClr val="tx1"/>
              </a:solidFill>
            </a:endParaRPr>
          </a:p>
        </c:rich>
      </c:tx>
      <c:layout>
        <c:manualLayout>
          <c:xMode val="edge"/>
          <c:yMode val="edge"/>
          <c:x val="8.2695599504911364E-3"/>
          <c:y val="3.1029983321050385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9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layout>
            <c:manualLayout>
              <c:x val="-8.164726604943582E-3"/>
              <c:y val="-0.10534048214606928"/>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
        <c:idx val="8"/>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tx>
            <c:rich>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fld id="{09B46177-DAFF-4968-8471-B82B086C0E74}" type="VALUE">
                  <a:rPr lang="en-US" b="1" i="0" baseline="0"/>
                  <a:pPr>
                    <a:defRPr sz="1500" b="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
        <c:idx val="10"/>
        <c:spPr>
          <a:ln w="28575" cap="rnd">
            <a:solidFill>
              <a:srgbClr val="FFC693"/>
            </a:solidFill>
            <a:round/>
          </a:ln>
          <a:effectLst/>
        </c:spPr>
        <c:marker>
          <c:symbol val="square"/>
          <c:size val="7"/>
          <c:spPr>
            <a:solidFill>
              <a:schemeClr val="accent2"/>
            </a:solidFill>
            <a:ln w="9525">
              <a:solidFill>
                <a:schemeClr val="accent2"/>
              </a:solidFill>
            </a:ln>
            <a:effectLst/>
          </c:spPr>
        </c:marker>
        <c:dLbl>
          <c:idx val="0"/>
          <c:layout>
            <c:manualLayout>
              <c:x val="-3.3508446142151607E-2"/>
              <c:y val="-7.3154279275457354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FC693"/>
            </a:solidFill>
            <a:round/>
          </a:ln>
          <a:effectLst/>
        </c:spPr>
        <c:marker>
          <c:symbol val="square"/>
          <c:size val="7"/>
          <c:spPr>
            <a:solidFill>
              <a:schemeClr val="accent2"/>
            </a:solidFill>
            <a:ln w="9525">
              <a:solidFill>
                <a:schemeClr val="accent2"/>
              </a:solidFill>
            </a:ln>
            <a:effectLst/>
          </c:spPr>
        </c:marker>
      </c:pivotFmt>
    </c:pivotFmts>
    <c:plotArea>
      <c:layout/>
      <c:barChart>
        <c:barDir val="col"/>
        <c:grouping val="clustered"/>
        <c:varyColors val="0"/>
        <c:ser>
          <c:idx val="0"/>
          <c:order val="0"/>
          <c:tx>
            <c:strRef>
              <c:f>Calculations!$B$11</c:f>
              <c:strCache>
                <c:ptCount val="1"/>
                <c:pt idx="0">
                  <c:v>Total Sales</c:v>
                </c:pt>
              </c:strCache>
            </c:strRef>
          </c:tx>
          <c:spPr>
            <a:solidFill>
              <a:srgbClr val="99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Calculations!$B$12:$B$18</c:f>
              <c:numCache>
                <c:formatCode>0.00</c:formatCode>
                <c:ptCount val="6"/>
                <c:pt idx="0">
                  <c:v>274766.92</c:v>
                </c:pt>
                <c:pt idx="1">
                  <c:v>326101.46999999997</c:v>
                </c:pt>
                <c:pt idx="2">
                  <c:v>271696.67</c:v>
                </c:pt>
                <c:pt idx="3">
                  <c:v>389831.95</c:v>
                </c:pt>
                <c:pt idx="4">
                  <c:v>306572.07</c:v>
                </c:pt>
                <c:pt idx="5">
                  <c:v>355368.8</c:v>
                </c:pt>
              </c:numCache>
            </c:numRef>
          </c:val>
          <c:extLst>
            <c:ext xmlns:c16="http://schemas.microsoft.com/office/drawing/2014/chart" uri="{C3380CC4-5D6E-409C-BE32-E72D297353CC}">
              <c16:uniqueId val="{00000000-A44A-4825-9598-F35E39E8CC3E}"/>
            </c:ext>
          </c:extLst>
        </c:ser>
        <c:dLbls>
          <c:showLegendKey val="0"/>
          <c:showVal val="0"/>
          <c:showCatName val="0"/>
          <c:showSerName val="0"/>
          <c:showPercent val="0"/>
          <c:showBubbleSize val="0"/>
        </c:dLbls>
        <c:gapWidth val="112"/>
        <c:axId val="1715112815"/>
        <c:axId val="1715113295"/>
      </c:barChart>
      <c:lineChart>
        <c:grouping val="standard"/>
        <c:varyColors val="0"/>
        <c:ser>
          <c:idx val="1"/>
          <c:order val="1"/>
          <c:tx>
            <c:strRef>
              <c:f>Calculations!$C$11</c:f>
              <c:strCache>
                <c:ptCount val="1"/>
                <c:pt idx="0">
                  <c:v>Profit Margin %</c:v>
                </c:pt>
              </c:strCache>
            </c:strRef>
          </c:tx>
          <c:spPr>
            <a:ln w="28575" cap="rnd">
              <a:solidFill>
                <a:srgbClr val="FFC693"/>
              </a:solidFill>
              <a:round/>
            </a:ln>
            <a:effectLst/>
          </c:spPr>
          <c:marker>
            <c:symbol val="square"/>
            <c:size val="7"/>
            <c:spPr>
              <a:solidFill>
                <a:schemeClr val="accent2"/>
              </a:solidFill>
              <a:ln w="9525">
                <a:solidFill>
                  <a:schemeClr val="accent2"/>
                </a:solidFill>
              </a:ln>
              <a:effectLst/>
            </c:spPr>
          </c:marker>
          <c:dPt>
            <c:idx val="2"/>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6-A44A-4825-9598-F35E39E8CC3E}"/>
              </c:ext>
            </c:extLst>
          </c:dPt>
          <c:dPt>
            <c:idx val="4"/>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4-A44A-4825-9598-F35E39E8CC3E}"/>
              </c:ext>
            </c:extLst>
          </c:dPt>
          <c:dPt>
            <c:idx val="5"/>
            <c:marker>
              <c:symbol val="square"/>
              <c:size val="7"/>
              <c:spPr>
                <a:solidFill>
                  <a:schemeClr val="accent2"/>
                </a:solidFill>
                <a:ln w="9525">
                  <a:solidFill>
                    <a:schemeClr val="accent2"/>
                  </a:solidFill>
                </a:ln>
                <a:effectLst/>
              </c:spPr>
            </c:marker>
            <c:bubble3D val="0"/>
            <c:extLst>
              <c:ext xmlns:c16="http://schemas.microsoft.com/office/drawing/2014/chart" uri="{C3380CC4-5D6E-409C-BE32-E72D297353CC}">
                <c16:uniqueId val="{00000002-A44A-4825-9598-F35E39E8CC3E}"/>
              </c:ext>
            </c:extLst>
          </c:dPt>
          <c:dLbls>
            <c:dLbl>
              <c:idx val="2"/>
              <c:layout>
                <c:manualLayout>
                  <c:x val="-3.3508446142151607E-2"/>
                  <c:y val="-7.3154279275457354E-2"/>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4A-4825-9598-F35E39E8CC3E}"/>
                </c:ext>
              </c:extLst>
            </c:dLbl>
            <c:dLbl>
              <c:idx val="4"/>
              <c:tx>
                <c:rich>
                  <a:bodyPr/>
                  <a:lstStyle/>
                  <a:p>
                    <a:fld id="{09B46177-DAFF-4968-8471-B82B086C0E74}" type="VALUE">
                      <a:rPr lang="en-US" b="1" i="0" baseline="0"/>
                      <a:pPr/>
                      <a:t>[VALUE]</a:t>
                    </a:fld>
                    <a:endParaRPr lang="en-US"/>
                  </a:p>
                </c:rich>
              </c:tx>
              <c:dLblPos val="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A44A-4825-9598-F35E39E8CC3E}"/>
                </c:ext>
              </c:extLst>
            </c:dLbl>
            <c:dLbl>
              <c:idx val="5"/>
              <c:layout>
                <c:manualLayout>
                  <c:x val="-8.164726604943582E-3"/>
                  <c:y val="-0.105340482146069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4A-4825-9598-F35E39E8CC3E}"/>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Calculations!$A$12:$A$18</c:f>
              <c:strCache>
                <c:ptCount val="6"/>
                <c:pt idx="0">
                  <c:v>Jan</c:v>
                </c:pt>
                <c:pt idx="1">
                  <c:v>Feb</c:v>
                </c:pt>
                <c:pt idx="2">
                  <c:v>Mar</c:v>
                </c:pt>
                <c:pt idx="3">
                  <c:v>Apr</c:v>
                </c:pt>
                <c:pt idx="4">
                  <c:v>May</c:v>
                </c:pt>
                <c:pt idx="5">
                  <c:v>Jun</c:v>
                </c:pt>
              </c:strCache>
            </c:strRef>
          </c:cat>
          <c:val>
            <c:numRef>
              <c:f>Calculations!$C$12:$C$18</c:f>
              <c:numCache>
                <c:formatCode>0%;\-0%;0%</c:formatCode>
                <c:ptCount val="6"/>
                <c:pt idx="0">
                  <c:v>3.7984103023755364E-3</c:v>
                </c:pt>
                <c:pt idx="1">
                  <c:v>0.11022538101505654</c:v>
                </c:pt>
                <c:pt idx="2">
                  <c:v>3.7968660694293619E-4</c:v>
                </c:pt>
                <c:pt idx="3">
                  <c:v>0.13633159750502755</c:v>
                </c:pt>
                <c:pt idx="4">
                  <c:v>0.21855458932837571</c:v>
                </c:pt>
                <c:pt idx="5">
                  <c:v>0.18807776768810308</c:v>
                </c:pt>
              </c:numCache>
            </c:numRef>
          </c:val>
          <c:smooth val="0"/>
          <c:extLst>
            <c:ext xmlns:c16="http://schemas.microsoft.com/office/drawing/2014/chart" uri="{C3380CC4-5D6E-409C-BE32-E72D297353CC}">
              <c16:uniqueId val="{00000001-A44A-4825-9598-F35E39E8CC3E}"/>
            </c:ext>
          </c:extLst>
        </c:ser>
        <c:dLbls>
          <c:showLegendKey val="0"/>
          <c:showVal val="0"/>
          <c:showCatName val="0"/>
          <c:showSerName val="0"/>
          <c:showPercent val="0"/>
          <c:showBubbleSize val="0"/>
        </c:dLbls>
        <c:marker val="1"/>
        <c:smooth val="0"/>
        <c:axId val="1715148335"/>
        <c:axId val="1715157455"/>
      </c:lineChart>
      <c:catAx>
        <c:axId val="171511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500" b="1" i="0" baseline="0">
                    <a:solidFill>
                      <a:schemeClr val="tx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13295"/>
        <c:crosses val="autoZero"/>
        <c:auto val="1"/>
        <c:lblAlgn val="ctr"/>
        <c:lblOffset val="100"/>
        <c:noMultiLvlLbl val="0"/>
      </c:catAx>
      <c:valAx>
        <c:axId val="1715113295"/>
        <c:scaling>
          <c:orientation val="minMax"/>
        </c:scaling>
        <c:delete val="0"/>
        <c:axPos val="l"/>
        <c:title>
          <c:tx>
            <c:rich>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r>
                  <a:rPr lang="en-US" sz="2000" b="1" i="0" baseline="0">
                    <a:solidFill>
                      <a:schemeClr val="tx1"/>
                    </a:solidFill>
                  </a:rPr>
                  <a:t>TOTAL SALES</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12815"/>
        <c:crosses val="autoZero"/>
        <c:crossBetween val="between"/>
      </c:valAx>
      <c:valAx>
        <c:axId val="1715157455"/>
        <c:scaling>
          <c:orientation val="minMax"/>
        </c:scaling>
        <c:delete val="0"/>
        <c:axPos val="r"/>
        <c:title>
          <c:tx>
            <c:rich>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r>
                  <a:rPr lang="en-US" sz="2000" b="1" i="0" baseline="0">
                    <a:solidFill>
                      <a:schemeClr val="tx1"/>
                    </a:solidFill>
                  </a:rPr>
                  <a:t>PROFIR MARGIN %</a:t>
                </a:r>
              </a:p>
            </c:rich>
          </c:tx>
          <c:overlay val="0"/>
          <c:spPr>
            <a:noFill/>
            <a:ln>
              <a:noFill/>
            </a:ln>
            <a:effectLst/>
          </c:spPr>
          <c:txPr>
            <a:bodyPr rot="-54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715148335"/>
        <c:crosses val="max"/>
        <c:crossBetween val="between"/>
      </c:valAx>
      <c:catAx>
        <c:axId val="1715148335"/>
        <c:scaling>
          <c:orientation val="minMax"/>
        </c:scaling>
        <c:delete val="1"/>
        <c:axPos val="b"/>
        <c:numFmt formatCode="General" sourceLinked="1"/>
        <c:majorTickMark val="out"/>
        <c:minorTickMark val="none"/>
        <c:tickLblPos val="nextTo"/>
        <c:crossAx val="17151574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[SalesDashboard.xlsx]Calculations!MANAGERPERFORMANCE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MANAGER PERFORMANCE LEADERBOARD</a:t>
            </a:r>
          </a:p>
        </c:rich>
      </c:tx>
      <c:layout>
        <c:manualLayout>
          <c:xMode val="edge"/>
          <c:yMode val="edge"/>
          <c:x val="0.16887828515865336"/>
          <c:y val="9.4461510330167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0000"/>
          </a:solidFill>
          <a:ln>
            <a:noFill/>
          </a:ln>
          <a:effectLst/>
        </c:spPr>
        <c:dLbl>
          <c:idx val="0"/>
          <c:layout>
            <c:manualLayout>
              <c:x val="-0.10872396147418116"/>
              <c:y val="-7.3998448923912278E-1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0000"/>
          </a:solidFill>
          <a:ln>
            <a:noFill/>
          </a:ln>
          <a:effectLst/>
        </c:spPr>
        <c:marker>
          <c:symbol val="none"/>
        </c:marker>
        <c:dLbl>
          <c:idx val="0"/>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90000"/>
          </a:solidFill>
          <a:ln>
            <a:noFill/>
          </a:ln>
          <a:effectLst/>
        </c:spPr>
        <c:dLbl>
          <c:idx val="0"/>
          <c:layout>
            <c:manualLayout>
              <c:x val="-0.1087237998293277"/>
              <c:y val="-7.8380111447878143E-3"/>
            </c:manualLayout>
          </c:layout>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8855775939399"/>
          <c:y val="0.28235687093864592"/>
          <c:w val="0.77709060101664507"/>
          <c:h val="0.50733276422200946"/>
        </c:manualLayout>
      </c:layout>
      <c:barChart>
        <c:barDir val="bar"/>
        <c:grouping val="clustered"/>
        <c:varyColors val="0"/>
        <c:ser>
          <c:idx val="0"/>
          <c:order val="0"/>
          <c:tx>
            <c:strRef>
              <c:f>Calculations!$B$24</c:f>
              <c:strCache>
                <c:ptCount val="1"/>
                <c:pt idx="0">
                  <c:v>Total</c:v>
                </c:pt>
              </c:strCache>
            </c:strRef>
          </c:tx>
          <c:spPr>
            <a:solidFill>
              <a:srgbClr val="990000"/>
            </a:solidFill>
            <a:ln>
              <a:noFill/>
            </a:ln>
            <a:effectLst/>
          </c:spPr>
          <c:invertIfNegative val="0"/>
          <c:dPt>
            <c:idx val="2"/>
            <c:invertIfNegative val="0"/>
            <c:bubble3D val="0"/>
            <c:extLst>
              <c:ext xmlns:c16="http://schemas.microsoft.com/office/drawing/2014/chart" uri="{C3380CC4-5D6E-409C-BE32-E72D297353CC}">
                <c16:uniqueId val="{00000000-08B3-478A-B9C1-3C9CD22C3506}"/>
              </c:ext>
            </c:extLst>
          </c:dPt>
          <c:dLbls>
            <c:dLbl>
              <c:idx val="2"/>
              <c:layout>
                <c:manualLayout>
                  <c:x val="-0.1087237998293277"/>
                  <c:y val="-7.83801114478781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8B3-478A-B9C1-3C9CD22C3506}"/>
                </c:ext>
              </c:extLst>
            </c:dLbl>
            <c:numFmt formatCode="#,##0.00" sourceLinked="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Calculations!$A$25:$A$29</c:f>
              <c:strCache>
                <c:ptCount val="4"/>
                <c:pt idx="0">
                  <c:v>Chris</c:v>
                </c:pt>
                <c:pt idx="1">
                  <c:v>Erin</c:v>
                </c:pt>
                <c:pt idx="2">
                  <c:v>Sam</c:v>
                </c:pt>
                <c:pt idx="3">
                  <c:v>William</c:v>
                </c:pt>
              </c:strCache>
            </c:strRef>
          </c:cat>
          <c:val>
            <c:numRef>
              <c:f>Calculations!$B$25:$B$29</c:f>
              <c:numCache>
                <c:formatCode>General</c:formatCode>
                <c:ptCount val="4"/>
                <c:pt idx="0">
                  <c:v>77365.472668600007</c:v>
                </c:pt>
                <c:pt idx="1">
                  <c:v>85291.403445999982</c:v>
                </c:pt>
                <c:pt idx="2">
                  <c:v>-14424.054379450004</c:v>
                </c:pt>
                <c:pt idx="3">
                  <c:v>75844.790101999999</c:v>
                </c:pt>
              </c:numCache>
            </c:numRef>
          </c:val>
          <c:extLst>
            <c:ext xmlns:c16="http://schemas.microsoft.com/office/drawing/2014/chart" uri="{C3380CC4-5D6E-409C-BE32-E72D297353CC}">
              <c16:uniqueId val="{00000001-08B3-478A-B9C1-3C9CD22C3506}"/>
            </c:ext>
          </c:extLst>
        </c:ser>
        <c:dLbls>
          <c:showLegendKey val="0"/>
          <c:showVal val="0"/>
          <c:showCatName val="0"/>
          <c:showSerName val="0"/>
          <c:showPercent val="0"/>
          <c:showBubbleSize val="0"/>
        </c:dLbls>
        <c:gapWidth val="62"/>
        <c:axId val="1715124335"/>
        <c:axId val="1715108495"/>
      </c:barChart>
      <c:catAx>
        <c:axId val="171512433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15108495"/>
        <c:crosses val="autoZero"/>
        <c:auto val="1"/>
        <c:lblAlgn val="ctr"/>
        <c:lblOffset val="200"/>
        <c:noMultiLvlLbl val="0"/>
      </c:catAx>
      <c:valAx>
        <c:axId val="1715108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r>
                  <a:rPr lang="en-US" sz="1500" b="1"/>
                  <a:t>PROFIT</a:t>
                </a:r>
              </a:p>
            </c:rich>
          </c:tx>
          <c:layout>
            <c:manualLayout>
              <c:xMode val="edge"/>
              <c:yMode val="edge"/>
              <c:x val="0.45285190378599938"/>
              <c:y val="0.91275332650972363"/>
            </c:manualLayout>
          </c:layout>
          <c:overlay val="0"/>
          <c:spPr>
            <a:noFill/>
            <a:ln>
              <a:noFill/>
            </a:ln>
            <a:effectLst/>
          </c:spPr>
          <c:txPr>
            <a:bodyPr rot="0" spcFirstLastPara="1" vertOverflow="ellipsis" vert="horz" wrap="square" anchor="b" anchorCtr="0"/>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1512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[SalesDashboard.xlsx]Calculations!SHIPMENTMODE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SHIPMENT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90000"/>
          </a:solidFill>
          <a:ln w="19050">
            <a:solidFill>
              <a:schemeClr val="lt1"/>
            </a:solidFill>
          </a:ln>
          <a:effectLst/>
        </c:spPr>
      </c:pivotFmt>
      <c:pivotFmt>
        <c:idx val="2"/>
        <c:spPr>
          <a:solidFill>
            <a:srgbClr val="FFC693"/>
          </a:solidFill>
          <a:ln w="19050">
            <a:solidFill>
              <a:schemeClr val="lt1"/>
            </a:solidFill>
          </a:ln>
          <a:effectLst/>
        </c:spPr>
      </c:pivotFmt>
      <c:pivotFmt>
        <c:idx val="3"/>
        <c:spPr>
          <a:solidFill>
            <a:srgbClr val="FDF7DB"/>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693"/>
          </a:solidFill>
          <a:ln w="19050">
            <a:solidFill>
              <a:schemeClr val="lt1"/>
            </a:solidFill>
          </a:ln>
          <a:effectLst/>
        </c:spPr>
      </c:pivotFmt>
      <c:pivotFmt>
        <c:idx val="6"/>
        <c:spPr>
          <a:solidFill>
            <a:srgbClr val="FDF7DB"/>
          </a:solidFill>
          <a:ln w="19050">
            <a:solidFill>
              <a:schemeClr val="lt1"/>
            </a:solidFill>
          </a:ln>
          <a:effectLst/>
        </c:spPr>
      </c:pivotFmt>
      <c:pivotFmt>
        <c:idx val="7"/>
        <c:spPr>
          <a:solidFill>
            <a:srgbClr val="990000"/>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693"/>
          </a:solidFill>
          <a:ln w="19050">
            <a:solidFill>
              <a:schemeClr val="lt1"/>
            </a:solidFill>
          </a:ln>
          <a:effectLst/>
        </c:spPr>
      </c:pivotFmt>
      <c:pivotFmt>
        <c:idx val="10"/>
        <c:spPr>
          <a:solidFill>
            <a:srgbClr val="FDF7DB"/>
          </a:solidFill>
          <a:ln w="19050">
            <a:solidFill>
              <a:schemeClr val="lt1"/>
            </a:solidFill>
          </a:ln>
          <a:effectLst/>
        </c:spPr>
      </c:pivotFmt>
      <c:pivotFmt>
        <c:idx val="11"/>
        <c:spPr>
          <a:solidFill>
            <a:srgbClr val="990000"/>
          </a:solidFill>
          <a:ln w="19050">
            <a:solidFill>
              <a:schemeClr val="lt1"/>
            </a:solidFill>
          </a:ln>
          <a:effectLst/>
        </c:spPr>
      </c:pivotFmt>
    </c:pivotFmts>
    <c:plotArea>
      <c:layout/>
      <c:pieChart>
        <c:varyColors val="1"/>
        <c:ser>
          <c:idx val="0"/>
          <c:order val="0"/>
          <c:tx>
            <c:strRef>
              <c:f>Calculations!$B$44</c:f>
              <c:strCache>
                <c:ptCount val="1"/>
                <c:pt idx="0">
                  <c:v>Total</c:v>
                </c:pt>
              </c:strCache>
            </c:strRef>
          </c:tx>
          <c:dPt>
            <c:idx val="0"/>
            <c:bubble3D val="0"/>
            <c:spPr>
              <a:solidFill>
                <a:srgbClr val="FFC693"/>
              </a:solidFill>
              <a:ln w="19050">
                <a:solidFill>
                  <a:schemeClr val="lt1"/>
                </a:solidFill>
              </a:ln>
              <a:effectLst/>
            </c:spPr>
            <c:extLst>
              <c:ext xmlns:c16="http://schemas.microsoft.com/office/drawing/2014/chart" uri="{C3380CC4-5D6E-409C-BE32-E72D297353CC}">
                <c16:uniqueId val="{00000001-F946-4853-ADF2-C51F5B49CB06}"/>
              </c:ext>
            </c:extLst>
          </c:dPt>
          <c:dPt>
            <c:idx val="1"/>
            <c:bubble3D val="0"/>
            <c:spPr>
              <a:solidFill>
                <a:srgbClr val="FDF7DB"/>
              </a:solidFill>
              <a:ln w="19050">
                <a:solidFill>
                  <a:schemeClr val="lt1"/>
                </a:solidFill>
              </a:ln>
              <a:effectLst/>
            </c:spPr>
            <c:extLst>
              <c:ext xmlns:c16="http://schemas.microsoft.com/office/drawing/2014/chart" uri="{C3380CC4-5D6E-409C-BE32-E72D297353CC}">
                <c16:uniqueId val="{00000003-F946-4853-ADF2-C51F5B49CB06}"/>
              </c:ext>
            </c:extLst>
          </c:dPt>
          <c:dPt>
            <c:idx val="2"/>
            <c:bubble3D val="0"/>
            <c:spPr>
              <a:solidFill>
                <a:srgbClr val="990000"/>
              </a:solidFill>
              <a:ln w="19050">
                <a:solidFill>
                  <a:schemeClr val="lt1"/>
                </a:solidFill>
              </a:ln>
              <a:effectLst/>
            </c:spPr>
            <c:extLst>
              <c:ext xmlns:c16="http://schemas.microsoft.com/office/drawing/2014/chart" uri="{C3380CC4-5D6E-409C-BE32-E72D297353CC}">
                <c16:uniqueId val="{00000005-F946-4853-ADF2-C51F5B49CB06}"/>
              </c:ext>
            </c:extLst>
          </c:dPt>
          <c:cat>
            <c:strRef>
              <c:f>Calculations!$A$45:$A$48</c:f>
              <c:strCache>
                <c:ptCount val="3"/>
                <c:pt idx="0">
                  <c:v>Delivery Truck</c:v>
                </c:pt>
                <c:pt idx="1">
                  <c:v>Express Air</c:v>
                </c:pt>
                <c:pt idx="2">
                  <c:v>Regular Air</c:v>
                </c:pt>
              </c:strCache>
            </c:strRef>
          </c:cat>
          <c:val>
            <c:numRef>
              <c:f>Calculations!$B$45:$B$48</c:f>
              <c:numCache>
                <c:formatCode>0</c:formatCode>
                <c:ptCount val="3"/>
                <c:pt idx="0">
                  <c:v>262</c:v>
                </c:pt>
                <c:pt idx="1">
                  <c:v>229</c:v>
                </c:pt>
                <c:pt idx="2">
                  <c:v>1093</c:v>
                </c:pt>
              </c:numCache>
            </c:numRef>
          </c:val>
          <c:extLst>
            <c:ext xmlns:c16="http://schemas.microsoft.com/office/drawing/2014/chart" uri="{C3380CC4-5D6E-409C-BE32-E72D297353CC}">
              <c16:uniqueId val="{00000006-F946-4853-ADF2-C51F5B49CB0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5548097112860892"/>
          <c:y val="0.34442038495188104"/>
          <c:w val="0.30678937007874013"/>
          <c:h val="0.33509623797025373"/>
        </c:manualLayout>
      </c:layout>
      <c:overlay val="0"/>
      <c:spPr>
        <a:noFill/>
        <a:ln>
          <a:noFill/>
        </a:ln>
        <a:effectLst/>
      </c:spPr>
      <c:txPr>
        <a:bodyPr rot="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[SalesDashboard.xlsx]Calculations!LEASTPROFITABLE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a:t>
            </a:r>
            <a:r>
              <a:rPr lang="en-US" sz="2000" b="1" baseline="0">
                <a:solidFill>
                  <a:schemeClr val="tx1"/>
                </a:solidFill>
              </a:rPr>
              <a:t> 3 LEAST PROFITABLE PRODUCTS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Calculations!$B$60</c:f>
              <c:strCache>
                <c:ptCount val="1"/>
                <c:pt idx="0">
                  <c:v>Total</c:v>
                </c:pt>
              </c:strCache>
            </c:strRef>
          </c:tx>
          <c:spPr>
            <a:solidFill>
              <a:srgbClr val="99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Calculations!$A$61:$A$64</c:f>
              <c:strCache>
                <c:ptCount val="3"/>
                <c:pt idx="0">
                  <c:v>5165</c:v>
                </c:pt>
                <c:pt idx="1">
                  <c:v>Okidata Pacemark 4410N Wide Format Dot Matrix Printer</c:v>
                </c:pt>
                <c:pt idx="2">
                  <c:v>Polycom ViewStation™ ISDN Videoconferencing Unit</c:v>
                </c:pt>
              </c:strCache>
            </c:strRef>
          </c:cat>
          <c:val>
            <c:numRef>
              <c:f>Calculations!$B$61:$B$64</c:f>
              <c:numCache>
                <c:formatCode>General</c:formatCode>
                <c:ptCount val="3"/>
                <c:pt idx="0">
                  <c:v>-12548.946099999999</c:v>
                </c:pt>
                <c:pt idx="1">
                  <c:v>-10999.533191999999</c:v>
                </c:pt>
                <c:pt idx="2">
                  <c:v>-27621.245408000002</c:v>
                </c:pt>
              </c:numCache>
            </c:numRef>
          </c:val>
          <c:extLst>
            <c:ext xmlns:c16="http://schemas.microsoft.com/office/drawing/2014/chart" uri="{C3380CC4-5D6E-409C-BE32-E72D297353CC}">
              <c16:uniqueId val="{00000000-5E55-4824-B61D-1D5E76D37DCF}"/>
            </c:ext>
          </c:extLst>
        </c:ser>
        <c:dLbls>
          <c:dLblPos val="inEnd"/>
          <c:showLegendKey val="0"/>
          <c:showVal val="1"/>
          <c:showCatName val="0"/>
          <c:showSerName val="0"/>
          <c:showPercent val="0"/>
          <c:showBubbleSize val="0"/>
        </c:dLbls>
        <c:gapWidth val="182"/>
        <c:axId val="1715207855"/>
        <c:axId val="1715208335"/>
      </c:barChart>
      <c:catAx>
        <c:axId val="1715207855"/>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500" b="1" i="0" u="none" strike="noStrike" kern="1200" baseline="0">
                <a:solidFill>
                  <a:schemeClr val="tx1"/>
                </a:solidFill>
                <a:latin typeface="+mn-lt"/>
                <a:ea typeface="+mn-ea"/>
                <a:cs typeface="+mn-cs"/>
              </a:defRPr>
            </a:pPr>
            <a:endParaRPr lang="en-US"/>
          </a:p>
        </c:txPr>
        <c:crossAx val="1715208335"/>
        <c:crosses val="autoZero"/>
        <c:auto val="0"/>
        <c:lblAlgn val="ctr"/>
        <c:lblOffset val="100"/>
        <c:noMultiLvlLbl val="0"/>
      </c:catAx>
      <c:valAx>
        <c:axId val="1715208335"/>
        <c:scaling>
          <c:orientation val="minMax"/>
          <c:min val="-30000"/>
        </c:scaling>
        <c:delete val="0"/>
        <c:axPos val="b"/>
        <c:numFmt formatCode="General" sourceLinked="1"/>
        <c:majorTickMark val="out"/>
        <c:minorTickMark val="none"/>
        <c:tickLblPos val="nextTo"/>
        <c:spPr>
          <a:noFill/>
          <a:ln>
            <a:solidFill>
              <a:srgbClr val="990000"/>
            </a:solidFill>
          </a:ln>
          <a:effectLst/>
        </c:spPr>
        <c:txPr>
          <a:bodyPr rot="0" spcFirstLastPara="1" vertOverflow="ellipsis" wrap="square" anchor="ctr" anchorCtr="1"/>
          <a:lstStyle/>
          <a:p>
            <a:pPr>
              <a:defRPr sz="1000" b="1" i="0" u="none" strike="noStrike" kern="1200" baseline="0">
                <a:solidFill>
                  <a:schemeClr val="tx1"/>
                </a:solidFill>
                <a:latin typeface="+mn-lt"/>
                <a:ea typeface="+mn-ea"/>
                <a:cs typeface="+mn-cs"/>
              </a:defRPr>
            </a:pPr>
            <a:endParaRPr lang="en-US"/>
          </a:p>
        </c:txPr>
        <c:crossAx val="171520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[SalesDashboard.xlsx]Calculations!TOP5PROFITABLESTATES</c:name>
    <c:fmtId val="6"/>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baseline="0">
                <a:solidFill>
                  <a:schemeClr val="tx1"/>
                </a:solidFill>
              </a:rPr>
              <a:t>TOP 5 PROFTABLE STATES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solidFill>
              <a:srgbClr val="990000">
                <a:alpha val="99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Calculations!$B$83</c:f>
              <c:strCache>
                <c:ptCount val="1"/>
                <c:pt idx="0">
                  <c:v>Total</c:v>
                </c:pt>
              </c:strCache>
            </c:strRef>
          </c:tx>
          <c:spPr>
            <a:solidFill>
              <a:srgbClr val="990000"/>
            </a:solidFill>
            <a:ln>
              <a:solidFill>
                <a:srgbClr val="990000">
                  <a:alpha val="99000"/>
                </a:srgb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Calculations!$A$84:$A$89</c:f>
              <c:strCache>
                <c:ptCount val="5"/>
                <c:pt idx="0">
                  <c:v>California</c:v>
                </c:pt>
                <c:pt idx="1">
                  <c:v>New York</c:v>
                </c:pt>
                <c:pt idx="2">
                  <c:v>Ohio</c:v>
                </c:pt>
                <c:pt idx="3">
                  <c:v>Oregon</c:v>
                </c:pt>
                <c:pt idx="4">
                  <c:v>Texas</c:v>
                </c:pt>
              </c:strCache>
            </c:strRef>
          </c:cat>
          <c:val>
            <c:numRef>
              <c:f>Calculations!$B$84:$B$89</c:f>
              <c:numCache>
                <c:formatCode>General</c:formatCode>
                <c:ptCount val="5"/>
                <c:pt idx="0">
                  <c:v>37421.96019200002</c:v>
                </c:pt>
                <c:pt idx="1">
                  <c:v>27611.943318599984</c:v>
                </c:pt>
                <c:pt idx="2">
                  <c:v>23410.842026000017</c:v>
                </c:pt>
                <c:pt idx="3">
                  <c:v>17931.043399999999</c:v>
                </c:pt>
                <c:pt idx="4">
                  <c:v>28078.85066</c:v>
                </c:pt>
              </c:numCache>
            </c:numRef>
          </c:val>
          <c:extLst>
            <c:ext xmlns:c16="http://schemas.microsoft.com/office/drawing/2014/chart" uri="{C3380CC4-5D6E-409C-BE32-E72D297353CC}">
              <c16:uniqueId val="{00000000-08C0-48DF-9B0A-56ABD89EE356}"/>
            </c:ext>
          </c:extLst>
        </c:ser>
        <c:dLbls>
          <c:dLblPos val="inEnd"/>
          <c:showLegendKey val="0"/>
          <c:showVal val="1"/>
          <c:showCatName val="0"/>
          <c:showSerName val="0"/>
          <c:showPercent val="0"/>
          <c:showBubbleSize val="0"/>
        </c:dLbls>
        <c:gapWidth val="80"/>
        <c:axId val="1114628080"/>
        <c:axId val="1114628560"/>
      </c:barChart>
      <c:catAx>
        <c:axId val="111462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28560"/>
        <c:crosses val="autoZero"/>
        <c:auto val="1"/>
        <c:lblAlgn val="ctr"/>
        <c:lblOffset val="100"/>
        <c:noMultiLvlLbl val="0"/>
      </c:catAx>
      <c:valAx>
        <c:axId val="111462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2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[SalesDashboard.xlsx]Calculations!TOP10PROFITABLECITIES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10 PROFITABLE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90000"/>
          </a:solidFill>
          <a:ln>
            <a:solidFill>
              <a:srgbClr val="990000">
                <a:alpha val="98000"/>
              </a:srgbClr>
            </a:solid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Calculations!$B$99</c:f>
              <c:strCache>
                <c:ptCount val="1"/>
                <c:pt idx="0">
                  <c:v>Total</c:v>
                </c:pt>
              </c:strCache>
            </c:strRef>
          </c:tx>
          <c:spPr>
            <a:solidFill>
              <a:srgbClr val="990000"/>
            </a:solidFill>
            <a:ln>
              <a:solidFill>
                <a:srgbClr val="990000">
                  <a:alpha val="98000"/>
                </a:srgbClr>
              </a:solid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DF7D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Calculations!$A$100:$A$110</c:f>
              <c:strCache>
                <c:ptCount val="10"/>
                <c:pt idx="0">
                  <c:v>Steubenville</c:v>
                </c:pt>
                <c:pt idx="1">
                  <c:v>Bangor</c:v>
                </c:pt>
                <c:pt idx="2">
                  <c:v>Cincinnati</c:v>
                </c:pt>
                <c:pt idx="3">
                  <c:v>Woodburn</c:v>
                </c:pt>
                <c:pt idx="4">
                  <c:v>Los Angeles</c:v>
                </c:pt>
                <c:pt idx="5">
                  <c:v>Greenville</c:v>
                </c:pt>
                <c:pt idx="6">
                  <c:v>Harrison</c:v>
                </c:pt>
                <c:pt idx="7">
                  <c:v>New City</c:v>
                </c:pt>
                <c:pt idx="8">
                  <c:v>Thornton</c:v>
                </c:pt>
                <c:pt idx="9">
                  <c:v>Washington</c:v>
                </c:pt>
              </c:strCache>
            </c:strRef>
          </c:cat>
          <c:val>
            <c:numRef>
              <c:f>Calculations!$B$100:$B$110</c:f>
              <c:numCache>
                <c:formatCode>General</c:formatCode>
                <c:ptCount val="10"/>
                <c:pt idx="0">
                  <c:v>6621.0019999999995</c:v>
                </c:pt>
                <c:pt idx="1">
                  <c:v>7139.130149999999</c:v>
                </c:pt>
                <c:pt idx="2">
                  <c:v>7257.7599999999993</c:v>
                </c:pt>
                <c:pt idx="3">
                  <c:v>7495.0609999999997</c:v>
                </c:pt>
                <c:pt idx="4">
                  <c:v>7865.8371799999986</c:v>
                </c:pt>
                <c:pt idx="5">
                  <c:v>8658.9505800000006</c:v>
                </c:pt>
                <c:pt idx="6">
                  <c:v>8839.2294599999987</c:v>
                </c:pt>
                <c:pt idx="7">
                  <c:v>9243.2576999999983</c:v>
                </c:pt>
                <c:pt idx="8">
                  <c:v>9300.3400999999976</c:v>
                </c:pt>
                <c:pt idx="9">
                  <c:v>11677.363099999999</c:v>
                </c:pt>
              </c:numCache>
            </c:numRef>
          </c:val>
          <c:extLst>
            <c:ext xmlns:c16="http://schemas.microsoft.com/office/drawing/2014/chart" uri="{C3380CC4-5D6E-409C-BE32-E72D297353CC}">
              <c16:uniqueId val="{00000000-B545-40F0-BF37-F640D20103D8}"/>
            </c:ext>
          </c:extLst>
        </c:ser>
        <c:dLbls>
          <c:dLblPos val="inEnd"/>
          <c:showLegendKey val="0"/>
          <c:showVal val="1"/>
          <c:showCatName val="0"/>
          <c:showSerName val="0"/>
          <c:showPercent val="0"/>
          <c:showBubbleSize val="0"/>
        </c:dLbls>
        <c:gapWidth val="89"/>
        <c:axId val="1114672720"/>
        <c:axId val="1114666960"/>
      </c:barChart>
      <c:catAx>
        <c:axId val="111467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14666960"/>
        <c:crosses val="autoZero"/>
        <c:auto val="1"/>
        <c:lblAlgn val="ctr"/>
        <c:lblOffset val="100"/>
        <c:noMultiLvlLbl val="0"/>
      </c:catAx>
      <c:valAx>
        <c:axId val="1114666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11467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8100" cap="flat" cmpd="sng" algn="ctr">
      <a:solidFill>
        <a:srgbClr val="99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196850</xdr:colOff>
      <xdr:row>4</xdr:row>
      <xdr:rowOff>149224</xdr:rowOff>
    </xdr:from>
    <xdr:to>
      <xdr:col>8</xdr:col>
      <xdr:colOff>423850</xdr:colOff>
      <xdr:row>22</xdr:row>
      <xdr:rowOff>57149</xdr:rowOff>
    </xdr:to>
    <xdr:graphicFrame macro="">
      <xdr:nvGraphicFramePr>
        <xdr:cNvPr id="2" name="Chart 1">
          <a:extLst>
            <a:ext uri="{FF2B5EF4-FFF2-40B4-BE49-F238E27FC236}">
              <a16:creationId xmlns:a16="http://schemas.microsoft.com/office/drawing/2014/main" id="{4D6FE3AF-99B2-53B9-2F8B-E92983ABA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260350</xdr:colOff>
      <xdr:row>23</xdr:row>
      <xdr:rowOff>41274</xdr:rowOff>
    </xdr:from>
    <xdr:to>
      <xdr:col>8</xdr:col>
      <xdr:colOff>431800</xdr:colOff>
      <xdr:row>41</xdr:row>
      <xdr:rowOff>57150</xdr:rowOff>
    </xdr:to>
    <xdr:graphicFrame macro="">
      <xdr:nvGraphicFramePr>
        <xdr:cNvPr id="4" name="Chart 3">
          <a:extLst>
            <a:ext uri="{FF2B5EF4-FFF2-40B4-BE49-F238E27FC236}">
              <a16:creationId xmlns:a16="http://schemas.microsoft.com/office/drawing/2014/main" id="{7B5261D2-90E2-3157-B4D3-A036C5A65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279400</xdr:colOff>
      <xdr:row>42</xdr:row>
      <xdr:rowOff>111125</xdr:rowOff>
    </xdr:from>
    <xdr:to>
      <xdr:col>7</xdr:col>
      <xdr:colOff>482600</xdr:colOff>
      <xdr:row>57</xdr:row>
      <xdr:rowOff>92075</xdr:rowOff>
    </xdr:to>
    <xdr:graphicFrame macro="">
      <xdr:nvGraphicFramePr>
        <xdr:cNvPr id="6" name="Chart 5">
          <a:extLst>
            <a:ext uri="{FF2B5EF4-FFF2-40B4-BE49-F238E27FC236}">
              <a16:creationId xmlns:a16="http://schemas.microsoft.com/office/drawing/2014/main" id="{F52A00DD-A062-A991-5135-B1A5934CB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266700</xdr:colOff>
      <xdr:row>64</xdr:row>
      <xdr:rowOff>155574</xdr:rowOff>
    </xdr:from>
    <xdr:to>
      <xdr:col>6</xdr:col>
      <xdr:colOff>330200</xdr:colOff>
      <xdr:row>80</xdr:row>
      <xdr:rowOff>69849</xdr:rowOff>
    </xdr:to>
    <xdr:graphicFrame macro="">
      <xdr:nvGraphicFramePr>
        <xdr:cNvPr id="8" name="Chart 7">
          <a:extLst>
            <a:ext uri="{FF2B5EF4-FFF2-40B4-BE49-F238E27FC236}">
              <a16:creationId xmlns:a16="http://schemas.microsoft.com/office/drawing/2014/main" id="{C9EC2791-8EAC-F073-1E91-49559D1AA8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647700</xdr:colOff>
      <xdr:row>81</xdr:row>
      <xdr:rowOff>168275</xdr:rowOff>
    </xdr:from>
    <xdr:to>
      <xdr:col>6</xdr:col>
      <xdr:colOff>1009650</xdr:colOff>
      <xdr:row>96</xdr:row>
      <xdr:rowOff>149225</xdr:rowOff>
    </xdr:to>
    <xdr:graphicFrame macro="">
      <xdr:nvGraphicFramePr>
        <xdr:cNvPr id="3" name="Chart 2">
          <a:extLst>
            <a:ext uri="{FF2B5EF4-FFF2-40B4-BE49-F238E27FC236}">
              <a16:creationId xmlns:a16="http://schemas.microsoft.com/office/drawing/2014/main" id="{425E3270-29A4-A25E-E481-A9DF79F23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615950</xdr:colOff>
      <xdr:row>97</xdr:row>
      <xdr:rowOff>111125</xdr:rowOff>
    </xdr:from>
    <xdr:to>
      <xdr:col>7</xdr:col>
      <xdr:colOff>0</xdr:colOff>
      <xdr:row>112</xdr:row>
      <xdr:rowOff>92075</xdr:rowOff>
    </xdr:to>
    <xdr:graphicFrame macro="">
      <xdr:nvGraphicFramePr>
        <xdr:cNvPr id="5" name="Chart 4">
          <a:extLst>
            <a:ext uri="{FF2B5EF4-FFF2-40B4-BE49-F238E27FC236}">
              <a16:creationId xmlns:a16="http://schemas.microsoft.com/office/drawing/2014/main" id="{7A5B9616-0B61-4A3B-81E1-7CD7E5B87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165100</xdr:colOff>
      <xdr:row>113</xdr:row>
      <xdr:rowOff>95250</xdr:rowOff>
    </xdr:from>
    <xdr:to>
      <xdr:col>3</xdr:col>
      <xdr:colOff>869950</xdr:colOff>
      <xdr:row>120</xdr:row>
      <xdr:rowOff>177800</xdr:rowOff>
    </xdr:to>
    <mc:AlternateContent xmlns:mc="http://schemas.openxmlformats.org/markup-compatibility/2006" xmlns:tsle="http://schemas.microsoft.com/office/drawing/2012/timeslicer">
      <mc:Choice Requires="tsle">
        <xdr:graphicFrame macro="">
          <xdr:nvGraphicFramePr>
            <xdr:cNvPr id="7" name="Order Date 1">
              <a:extLst>
                <a:ext uri="{FF2B5EF4-FFF2-40B4-BE49-F238E27FC236}">
                  <a16:creationId xmlns:a16="http://schemas.microsoft.com/office/drawing/2014/main" id="{E46B33DE-22C8-DF50-65A6-FA785893908D}"/>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5100" y="209042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622300</xdr:colOff>
      <xdr:row>102</xdr:row>
      <xdr:rowOff>6350</xdr:rowOff>
    </xdr:from>
    <xdr:to>
      <xdr:col>5</xdr:col>
      <xdr:colOff>330200</xdr:colOff>
      <xdr:row>116</xdr:row>
      <xdr:rowOff>47622</xdr:rowOff>
    </xdr:to>
    <mc:AlternateContent xmlns:mc="http://schemas.openxmlformats.org/markup-compatibility/2006" xmlns:a14="http://schemas.microsoft.com/office/drawing/2010/main">
      <mc:Choice Requires="a14">
        <xdr:graphicFrame macro="">
          <xdr:nvGraphicFramePr>
            <xdr:cNvPr id="9" name="Customer Segment 1">
              <a:extLst>
                <a:ext uri="{FF2B5EF4-FFF2-40B4-BE49-F238E27FC236}">
                  <a16:creationId xmlns:a16="http://schemas.microsoft.com/office/drawing/2014/main" id="{A42D2C01-CCE2-6493-185C-26C7DA0F92C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3251200" y="18789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654050</xdr:colOff>
      <xdr:row>104</xdr:row>
      <xdr:rowOff>69850</xdr:rowOff>
    </xdr:from>
    <xdr:to>
      <xdr:col>6</xdr:col>
      <xdr:colOff>514350</xdr:colOff>
      <xdr:row>118</xdr:row>
      <xdr:rowOff>111122</xdr:rowOff>
    </xdr:to>
    <mc:AlternateContent xmlns:mc="http://schemas.openxmlformats.org/markup-compatibility/2006" xmlns:a14="http://schemas.microsoft.com/office/drawing/2010/main">
      <mc:Choice Requires="a14">
        <xdr:graphicFrame macro="">
          <xdr:nvGraphicFramePr>
            <xdr:cNvPr id="10" name="Order Priority 2">
              <a:extLst>
                <a:ext uri="{FF2B5EF4-FFF2-40B4-BE49-F238E27FC236}">
                  <a16:creationId xmlns:a16="http://schemas.microsoft.com/office/drawing/2014/main" id="{FE05EC78-B761-7F0F-DAFD-D0D5056AC2FD}"/>
                </a:ext>
              </a:extLst>
            </xdr:cNvPr>
            <xdr:cNvGraphicFramePr/>
          </xdr:nvGraphicFramePr>
          <xdr:xfrm>
            <a:off x="0" y="0"/>
            <a:ext cx="0" cy="0"/>
          </xdr:xfrm>
          <a:graphic>
            <a:graphicData uri="http://schemas.microsoft.com/office/drawing/2010/slicer">
              <sle:slicer xmlns:sle="http://schemas.microsoft.com/office/drawing/2010/slicer" name="Order Priority 2"/>
            </a:graphicData>
          </a:graphic>
        </xdr:graphicFrame>
      </mc:Choice>
      <mc:Fallback xmlns="">
        <xdr:sp macro="" textlink="">
          <xdr:nvSpPr>
            <xdr:cNvPr id="0" name=""/>
            <xdr:cNvSpPr>
              <a:spLocks noTextEdit="1"/>
            </xdr:cNvSpPr>
          </xdr:nvSpPr>
          <xdr:spPr>
            <a:xfrm>
              <a:off x="4527550" y="19221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254000</xdr:colOff>
      <xdr:row>106</xdr:row>
      <xdr:rowOff>177800</xdr:rowOff>
    </xdr:from>
    <xdr:to>
      <xdr:col>6</xdr:col>
      <xdr:colOff>990600</xdr:colOff>
      <xdr:row>121</xdr:row>
      <xdr:rowOff>34922</xdr:rowOff>
    </xdr:to>
    <mc:AlternateContent xmlns:mc="http://schemas.openxmlformats.org/markup-compatibility/2006" xmlns:a14="http://schemas.microsoft.com/office/drawing/2010/main">
      <mc:Choice Requires="a14">
        <xdr:graphicFrame macro="">
          <xdr:nvGraphicFramePr>
            <xdr:cNvPr id="11" name="Product Category 2">
              <a:extLst>
                <a:ext uri="{FF2B5EF4-FFF2-40B4-BE49-F238E27FC236}">
                  <a16:creationId xmlns:a16="http://schemas.microsoft.com/office/drawing/2014/main" id="{CDE8C19F-F24B-1D18-6A15-6B0DFF823F49}"/>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5003800" y="19697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228598</xdr:colOff>
      <xdr:row>0</xdr:row>
      <xdr:rowOff>146051</xdr:rowOff>
    </xdr:from>
    <xdr:to>
      <xdr:col>38</xdr:col>
      <xdr:colOff>-1</xdr:colOff>
      <xdr:row>5</xdr:row>
      <xdr:rowOff>50800</xdr:rowOff>
    </xdr:to>
    <xdr:sp macro="" textlink="">
      <xdr:nvSpPr>
        <xdr:cNvPr id="2" name="Rectangle: Rounded Corners 1">
          <a:extLst>
            <a:ext uri="{FF2B5EF4-FFF2-40B4-BE49-F238E27FC236}">
              <a16:creationId xmlns:a16="http://schemas.microsoft.com/office/drawing/2014/main" id="{EE6AB6F0-E937-4B43-9C52-49CD1EFDAACA}"/>
            </a:ext>
          </a:extLst>
        </xdr:cNvPr>
        <xdr:cNvSpPr/>
      </xdr:nvSpPr>
      <xdr:spPr>
        <a:xfrm>
          <a:off x="228598" y="146051"/>
          <a:ext cx="23170189" cy="86687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latin typeface="+mj-lt"/>
            </a:rPr>
            <a:t>SALES DASHBOARD</a:t>
          </a:r>
        </a:p>
      </xdr:txBody>
    </xdr:sp>
    <xdr:clientData/>
  </xdr:twoCellAnchor>
  <xdr:twoCellAnchor>
    <xdr:from>
      <xdr:col>0</xdr:col>
      <xdr:colOff>289891</xdr:colOff>
      <xdr:row>6</xdr:row>
      <xdr:rowOff>55218</xdr:rowOff>
    </xdr:from>
    <xdr:to>
      <xdr:col>6</xdr:col>
      <xdr:colOff>0</xdr:colOff>
      <xdr:row>12</xdr:row>
      <xdr:rowOff>124239</xdr:rowOff>
    </xdr:to>
    <xdr:sp macro="" textlink="Calculations!A4">
      <xdr:nvSpPr>
        <xdr:cNvPr id="15" name="Rectangle: Rounded Corners 14">
          <a:extLst>
            <a:ext uri="{FF2B5EF4-FFF2-40B4-BE49-F238E27FC236}">
              <a16:creationId xmlns:a16="http://schemas.microsoft.com/office/drawing/2014/main" id="{FF9E7395-475C-FFB5-C224-7EB6EC6E4E01}"/>
            </a:ext>
          </a:extLst>
        </xdr:cNvPr>
        <xdr:cNvSpPr/>
      </xdr:nvSpPr>
      <xdr:spPr>
        <a:xfrm>
          <a:off x="289891" y="1131957"/>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TOTAL SALES</a:t>
          </a:r>
        </a:p>
        <a:p>
          <a:pPr algn="ctr"/>
          <a:fld id="{DEFA2FBA-DA15-490E-BB6F-B7292E5DDE78}" type="TxLink">
            <a:rPr lang="en-US" sz="2800" b="1" i="0" u="none" strike="noStrike">
              <a:solidFill>
                <a:srgbClr val="FDF7DB"/>
              </a:solidFill>
              <a:latin typeface="Aptos Narrow"/>
            </a:rPr>
            <a:pPr algn="ctr"/>
            <a:t>1924337.88</a:t>
          </a:fld>
          <a:endParaRPr lang="en-US" sz="2800" b="1">
            <a:solidFill>
              <a:srgbClr val="FDF7DB"/>
            </a:solidFill>
          </a:endParaRPr>
        </a:p>
      </xdr:txBody>
    </xdr:sp>
    <xdr:clientData/>
  </xdr:twoCellAnchor>
  <xdr:twoCellAnchor>
    <xdr:from>
      <xdr:col>6</xdr:col>
      <xdr:colOff>138594</xdr:colOff>
      <xdr:row>6</xdr:row>
      <xdr:rowOff>55770</xdr:rowOff>
    </xdr:from>
    <xdr:to>
      <xdr:col>11</xdr:col>
      <xdr:colOff>456095</xdr:colOff>
      <xdr:row>12</xdr:row>
      <xdr:rowOff>124791</xdr:rowOff>
    </xdr:to>
    <xdr:sp macro="" textlink="Calculations!A5">
      <xdr:nvSpPr>
        <xdr:cNvPr id="16" name="Rectangle: Rounded Corners 15">
          <a:extLst>
            <a:ext uri="{FF2B5EF4-FFF2-40B4-BE49-F238E27FC236}">
              <a16:creationId xmlns:a16="http://schemas.microsoft.com/office/drawing/2014/main" id="{3D9C4F13-9F27-4661-966B-0C836FC3FFE8}"/>
            </a:ext>
          </a:extLst>
        </xdr:cNvPr>
        <xdr:cNvSpPr/>
      </xdr:nvSpPr>
      <xdr:spPr>
        <a:xfrm>
          <a:off x="3782942" y="1132509"/>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TOTAL PROFIT</a:t>
          </a:r>
        </a:p>
        <a:p>
          <a:pPr algn="ctr"/>
          <a:fld id="{2D59271E-034B-45B1-B01E-32419F72ADCD}" type="TxLink">
            <a:rPr lang="en-US" sz="2800" b="1" i="0" u="none" strike="noStrike">
              <a:solidFill>
                <a:srgbClr val="FDF7DB"/>
              </a:solidFill>
              <a:latin typeface="Aptos Narrow"/>
            </a:rPr>
            <a:pPr algn="ctr"/>
            <a:t>224077.61</a:t>
          </a:fld>
          <a:endParaRPr lang="en-US" sz="2800" b="1">
            <a:solidFill>
              <a:srgbClr val="FDF7DB"/>
            </a:solidFill>
          </a:endParaRPr>
        </a:p>
      </xdr:txBody>
    </xdr:sp>
    <xdr:clientData/>
  </xdr:twoCellAnchor>
  <xdr:twoCellAnchor>
    <xdr:from>
      <xdr:col>11</xdr:col>
      <xdr:colOff>580886</xdr:colOff>
      <xdr:row>6</xdr:row>
      <xdr:rowOff>56322</xdr:rowOff>
    </xdr:from>
    <xdr:to>
      <xdr:col>17</xdr:col>
      <xdr:colOff>290995</xdr:colOff>
      <xdr:row>12</xdr:row>
      <xdr:rowOff>125343</xdr:rowOff>
    </xdr:to>
    <xdr:sp macro="" textlink="Calculations!A6">
      <xdr:nvSpPr>
        <xdr:cNvPr id="17" name="Rectangle: Rounded Corners 16">
          <a:extLst>
            <a:ext uri="{FF2B5EF4-FFF2-40B4-BE49-F238E27FC236}">
              <a16:creationId xmlns:a16="http://schemas.microsoft.com/office/drawing/2014/main" id="{81B42D45-7CE0-4A16-871C-5D84CD056EDD}"/>
            </a:ext>
          </a:extLst>
        </xdr:cNvPr>
        <xdr:cNvSpPr/>
      </xdr:nvSpPr>
      <xdr:spPr>
        <a:xfrm>
          <a:off x="7262190" y="1133061"/>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PROFIT MARGIN %</a:t>
          </a:r>
        </a:p>
        <a:p>
          <a:pPr algn="ctr"/>
          <a:fld id="{D4CCC369-5706-4C79-8A94-95FDC04B73EC}" type="TxLink">
            <a:rPr lang="en-US" sz="2800" b="1" i="0" u="none" strike="noStrike">
              <a:solidFill>
                <a:srgbClr val="FDF7DB"/>
              </a:solidFill>
              <a:latin typeface="Aptos Narrow"/>
            </a:rPr>
            <a:pPr algn="ctr"/>
            <a:t>11.64%</a:t>
          </a:fld>
          <a:endParaRPr lang="en-US" sz="2800" b="1">
            <a:solidFill>
              <a:srgbClr val="FDF7DB"/>
            </a:solidFill>
          </a:endParaRPr>
        </a:p>
      </xdr:txBody>
    </xdr:sp>
    <xdr:clientData/>
  </xdr:twoCellAnchor>
  <xdr:twoCellAnchor>
    <xdr:from>
      <xdr:col>17</xdr:col>
      <xdr:colOff>429591</xdr:colOff>
      <xdr:row>6</xdr:row>
      <xdr:rowOff>56873</xdr:rowOff>
    </xdr:from>
    <xdr:to>
      <xdr:col>24</xdr:col>
      <xdr:colOff>317500</xdr:colOff>
      <xdr:row>12</xdr:row>
      <xdr:rowOff>125894</xdr:rowOff>
    </xdr:to>
    <xdr:sp macro="" textlink="Calculations!A7">
      <xdr:nvSpPr>
        <xdr:cNvPr id="18" name="Rectangle: Rounded Corners 17">
          <a:extLst>
            <a:ext uri="{FF2B5EF4-FFF2-40B4-BE49-F238E27FC236}">
              <a16:creationId xmlns:a16="http://schemas.microsoft.com/office/drawing/2014/main" id="{159FCB8F-B36F-448B-B269-BA786AEB1598}"/>
            </a:ext>
          </a:extLst>
        </xdr:cNvPr>
        <xdr:cNvSpPr/>
      </xdr:nvSpPr>
      <xdr:spPr>
        <a:xfrm>
          <a:off x="10755243" y="1133612"/>
          <a:ext cx="4139648"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AVERAGE DAYS TO SHIP</a:t>
          </a:r>
        </a:p>
        <a:p>
          <a:pPr algn="ctr"/>
          <a:fld id="{718D790C-AC08-4FBD-B550-42ACAD32D83C}" type="TxLink">
            <a:rPr lang="en-US" sz="2800" b="1" i="0" u="none" strike="noStrike">
              <a:solidFill>
                <a:srgbClr val="FDF7DB"/>
              </a:solidFill>
              <a:latin typeface="Aptos Narrow"/>
            </a:rPr>
            <a:pPr algn="ctr"/>
            <a:t>2</a:t>
          </a:fld>
          <a:endParaRPr lang="en-US" sz="2800" b="1">
            <a:solidFill>
              <a:srgbClr val="FDF7DB"/>
            </a:solidFill>
          </a:endParaRPr>
        </a:p>
      </xdr:txBody>
    </xdr:sp>
    <xdr:clientData/>
  </xdr:twoCellAnchor>
  <xdr:twoCellAnchor>
    <xdr:from>
      <xdr:col>24</xdr:col>
      <xdr:colOff>485360</xdr:colOff>
      <xdr:row>6</xdr:row>
      <xdr:rowOff>43622</xdr:rowOff>
    </xdr:from>
    <xdr:to>
      <xdr:col>30</xdr:col>
      <xdr:colOff>195469</xdr:colOff>
      <xdr:row>12</xdr:row>
      <xdr:rowOff>112643</xdr:rowOff>
    </xdr:to>
    <xdr:sp macro="" textlink="Calculations!A8">
      <xdr:nvSpPr>
        <xdr:cNvPr id="19" name="Rectangle: Rounded Corners 18">
          <a:extLst>
            <a:ext uri="{FF2B5EF4-FFF2-40B4-BE49-F238E27FC236}">
              <a16:creationId xmlns:a16="http://schemas.microsoft.com/office/drawing/2014/main" id="{2D9991E7-69C8-4832-9DC0-6B676A8A5B08}"/>
            </a:ext>
          </a:extLst>
        </xdr:cNvPr>
        <xdr:cNvSpPr/>
      </xdr:nvSpPr>
      <xdr:spPr>
        <a:xfrm>
          <a:off x="15062751" y="1120361"/>
          <a:ext cx="3354457" cy="1145760"/>
        </a:xfrm>
        <a:prstGeom prst="roundRect">
          <a:avLst/>
        </a:prstGeom>
        <a:solidFill>
          <a:srgbClr val="99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u="none" strike="noStrike">
              <a:solidFill>
                <a:srgbClr val="FDF7DB"/>
              </a:solidFill>
              <a:latin typeface="Aptos Narrow"/>
            </a:rPr>
            <a:t>RETURN RATE %</a:t>
          </a:r>
        </a:p>
        <a:p>
          <a:pPr algn="ctr"/>
          <a:fld id="{2377B930-209A-4D1F-ADA0-D11A7337F90A}" type="TxLink">
            <a:rPr lang="en-US" sz="2800" b="1" i="0" u="none" strike="noStrike">
              <a:solidFill>
                <a:srgbClr val="FDF7DB"/>
              </a:solidFill>
              <a:latin typeface="Aptos Narrow"/>
            </a:rPr>
            <a:pPr algn="ctr"/>
            <a:t>0.81%</a:t>
          </a:fld>
          <a:endParaRPr lang="en-US" sz="2800" b="1">
            <a:solidFill>
              <a:srgbClr val="FDF7DB"/>
            </a:solidFill>
          </a:endParaRPr>
        </a:p>
      </xdr:txBody>
    </xdr:sp>
    <xdr:clientData/>
  </xdr:twoCellAnchor>
  <xdr:twoCellAnchor>
    <xdr:from>
      <xdr:col>9</xdr:col>
      <xdr:colOff>179793</xdr:colOff>
      <xdr:row>13</xdr:row>
      <xdr:rowOff>167336</xdr:rowOff>
    </xdr:from>
    <xdr:to>
      <xdr:col>20</xdr:col>
      <xdr:colOff>290228</xdr:colOff>
      <xdr:row>37</xdr:row>
      <xdr:rowOff>158749</xdr:rowOff>
    </xdr:to>
    <xdr:graphicFrame macro="">
      <xdr:nvGraphicFramePr>
        <xdr:cNvPr id="20" name="Chart 19">
          <a:extLst>
            <a:ext uri="{FF2B5EF4-FFF2-40B4-BE49-F238E27FC236}">
              <a16:creationId xmlns:a16="http://schemas.microsoft.com/office/drawing/2014/main" id="{9F736888-DC3C-4B9E-9ABA-B54A38D6D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491190</xdr:colOff>
      <xdr:row>13</xdr:row>
      <xdr:rowOff>111032</xdr:rowOff>
    </xdr:from>
    <xdr:to>
      <xdr:col>30</xdr:col>
      <xdr:colOff>92927</xdr:colOff>
      <xdr:row>38</xdr:row>
      <xdr:rowOff>0</xdr:rowOff>
    </xdr:to>
    <xdr:graphicFrame macro="">
      <xdr:nvGraphicFramePr>
        <xdr:cNvPr id="21" name="Chart 20">
          <a:extLst>
            <a:ext uri="{FF2B5EF4-FFF2-40B4-BE49-F238E27FC236}">
              <a16:creationId xmlns:a16="http://schemas.microsoft.com/office/drawing/2014/main" id="{5743F53B-F0AD-4645-AEE0-A9D382D0B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371706</xdr:colOff>
      <xdr:row>13</xdr:row>
      <xdr:rowOff>170365</xdr:rowOff>
    </xdr:from>
    <xdr:to>
      <xdr:col>8</xdr:col>
      <xdr:colOff>449146</xdr:colOff>
      <xdr:row>37</xdr:row>
      <xdr:rowOff>111125</xdr:rowOff>
    </xdr:to>
    <xdr:graphicFrame macro="">
      <xdr:nvGraphicFramePr>
        <xdr:cNvPr id="22" name="Chart 21">
          <a:extLst>
            <a:ext uri="{FF2B5EF4-FFF2-40B4-BE49-F238E27FC236}">
              <a16:creationId xmlns:a16="http://schemas.microsoft.com/office/drawing/2014/main" id="{080C8865-C7A7-4037-9E20-08CE4613C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368652</xdr:colOff>
      <xdr:row>39</xdr:row>
      <xdr:rowOff>105832</xdr:rowOff>
    </xdr:from>
    <xdr:to>
      <xdr:col>8</xdr:col>
      <xdr:colOff>474486</xdr:colOff>
      <xdr:row>60</xdr:row>
      <xdr:rowOff>95249</xdr:rowOff>
    </xdr:to>
    <xdr:graphicFrame macro="">
      <xdr:nvGraphicFramePr>
        <xdr:cNvPr id="3" name="Chart 2">
          <a:extLst>
            <a:ext uri="{FF2B5EF4-FFF2-40B4-BE49-F238E27FC236}">
              <a16:creationId xmlns:a16="http://schemas.microsoft.com/office/drawing/2014/main" id="{DDF789F1-EBB9-4449-AE8F-FD6BA32A9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172272</xdr:colOff>
      <xdr:row>39</xdr:row>
      <xdr:rowOff>97601</xdr:rowOff>
    </xdr:from>
    <xdr:to>
      <xdr:col>20</xdr:col>
      <xdr:colOff>289864</xdr:colOff>
      <xdr:row>60</xdr:row>
      <xdr:rowOff>79375</xdr:rowOff>
    </xdr:to>
    <xdr:graphicFrame macro="">
      <xdr:nvGraphicFramePr>
        <xdr:cNvPr id="5" name="Chart 4">
          <a:extLst>
            <a:ext uri="{FF2B5EF4-FFF2-40B4-BE49-F238E27FC236}">
              <a16:creationId xmlns:a16="http://schemas.microsoft.com/office/drawing/2014/main" id="{25E79205-788C-4324-9BDE-C2B99EA2F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515056</xdr:colOff>
      <xdr:row>39</xdr:row>
      <xdr:rowOff>79376</xdr:rowOff>
    </xdr:from>
    <xdr:to>
      <xdr:col>30</xdr:col>
      <xdr:colOff>91722</xdr:colOff>
      <xdr:row>60</xdr:row>
      <xdr:rowOff>100542</xdr:rowOff>
    </xdr:to>
    <xdr:graphicFrame macro="">
      <xdr:nvGraphicFramePr>
        <xdr:cNvPr id="6" name="Chart 5">
          <a:extLst>
            <a:ext uri="{FF2B5EF4-FFF2-40B4-BE49-F238E27FC236}">
              <a16:creationId xmlns:a16="http://schemas.microsoft.com/office/drawing/2014/main" id="{6FD9B3E9-300A-43A8-B93F-ABAB396BB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317500</xdr:colOff>
      <xdr:row>6</xdr:row>
      <xdr:rowOff>31750</xdr:rowOff>
    </xdr:from>
    <xdr:to>
      <xdr:col>37</xdr:col>
      <xdr:colOff>539750</xdr:colOff>
      <xdr:row>12</xdr:row>
      <xdr:rowOff>142875</xdr:rowOff>
    </xdr:to>
    <mc:AlternateContent xmlns:mc="http://schemas.openxmlformats.org/markup-compatibility/2006" xmlns:tsle="http://schemas.microsoft.com/office/drawing/2012/timeslicer">
      <mc:Choice Requires="tsle">
        <xdr:graphicFrame macro="">
          <xdr:nvGraphicFramePr>
            <xdr:cNvPr id="7" name="Order Date 2">
              <a:extLst>
                <a:ext uri="{FF2B5EF4-FFF2-40B4-BE49-F238E27FC236}">
                  <a16:creationId xmlns:a16="http://schemas.microsoft.com/office/drawing/2014/main" id="{4A52DA1C-9711-4A08-A6E3-BFF22CB01DEA}"/>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8501591" y="1157432"/>
              <a:ext cx="4465204" cy="12368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30</xdr:col>
      <xdr:colOff>349249</xdr:colOff>
      <xdr:row>13</xdr:row>
      <xdr:rowOff>127000</xdr:rowOff>
    </xdr:from>
    <xdr:to>
      <xdr:col>37</xdr:col>
      <xdr:colOff>482499</xdr:colOff>
      <xdr:row>26</xdr:row>
      <xdr:rowOff>142875</xdr:rowOff>
    </xdr:to>
    <mc:AlternateContent xmlns:mc="http://schemas.openxmlformats.org/markup-compatibility/2006" xmlns:a14="http://schemas.microsoft.com/office/drawing/2010/main">
      <mc:Choice Requires="a14">
        <xdr:graphicFrame macro="">
          <xdr:nvGraphicFramePr>
            <xdr:cNvPr id="8" name="Customer Segment 2">
              <a:extLst>
                <a:ext uri="{FF2B5EF4-FFF2-40B4-BE49-F238E27FC236}">
                  <a16:creationId xmlns:a16="http://schemas.microsoft.com/office/drawing/2014/main" id="{049679D2-2B7B-48E3-93DA-2CC56E554D47}"/>
                </a:ext>
              </a:extLst>
            </xdr:cNvPr>
            <xdr:cNvGraphicFramePr/>
          </xdr:nvGraphicFramePr>
          <xdr:xfrm>
            <a:off x="0" y="0"/>
            <a:ext cx="0" cy="0"/>
          </xdr:xfrm>
          <a:graphic>
            <a:graphicData uri="http://schemas.microsoft.com/office/drawing/2010/slicer">
              <sle:slicer xmlns:sle="http://schemas.microsoft.com/office/drawing/2010/slicer" name="Customer Segment 2"/>
            </a:graphicData>
          </a:graphic>
        </xdr:graphicFrame>
      </mc:Choice>
      <mc:Fallback xmlns="">
        <xdr:sp macro="" textlink="">
          <xdr:nvSpPr>
            <xdr:cNvPr id="0" name=""/>
            <xdr:cNvSpPr>
              <a:spLocks noTextEdit="1"/>
            </xdr:cNvSpPr>
          </xdr:nvSpPr>
          <xdr:spPr>
            <a:xfrm>
              <a:off x="18533340" y="2565977"/>
              <a:ext cx="4376204" cy="2454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333375</xdr:colOff>
      <xdr:row>27</xdr:row>
      <xdr:rowOff>63500</xdr:rowOff>
    </xdr:from>
    <xdr:to>
      <xdr:col>37</xdr:col>
      <xdr:colOff>466625</xdr:colOff>
      <xdr:row>47</xdr:row>
      <xdr:rowOff>0</xdr:rowOff>
    </xdr:to>
    <mc:AlternateContent xmlns:mc="http://schemas.openxmlformats.org/markup-compatibility/2006" xmlns:a14="http://schemas.microsoft.com/office/drawing/2010/main">
      <mc:Choice Requires="a14">
        <xdr:graphicFrame macro="">
          <xdr:nvGraphicFramePr>
            <xdr:cNvPr id="9" name="Order Priority 3">
              <a:extLst>
                <a:ext uri="{FF2B5EF4-FFF2-40B4-BE49-F238E27FC236}">
                  <a16:creationId xmlns:a16="http://schemas.microsoft.com/office/drawing/2014/main" id="{8B9ED96A-E4CE-4564-B76B-855C72E9BE2C}"/>
                </a:ext>
              </a:extLst>
            </xdr:cNvPr>
            <xdr:cNvGraphicFramePr/>
          </xdr:nvGraphicFramePr>
          <xdr:xfrm>
            <a:off x="0" y="0"/>
            <a:ext cx="0" cy="0"/>
          </xdr:xfrm>
          <a:graphic>
            <a:graphicData uri="http://schemas.microsoft.com/office/drawing/2010/slicer">
              <sle:slicer xmlns:sle="http://schemas.microsoft.com/office/drawing/2010/slicer" name="Order Priority 3"/>
            </a:graphicData>
          </a:graphic>
        </xdr:graphicFrame>
      </mc:Choice>
      <mc:Fallback xmlns="">
        <xdr:sp macro="" textlink="">
          <xdr:nvSpPr>
            <xdr:cNvPr id="0" name=""/>
            <xdr:cNvSpPr>
              <a:spLocks noTextEdit="1"/>
            </xdr:cNvSpPr>
          </xdr:nvSpPr>
          <xdr:spPr>
            <a:xfrm>
              <a:off x="18517466" y="5129068"/>
              <a:ext cx="4376204" cy="3688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301625</xdr:colOff>
      <xdr:row>47</xdr:row>
      <xdr:rowOff>79374</xdr:rowOff>
    </xdr:from>
    <xdr:to>
      <xdr:col>37</xdr:col>
      <xdr:colOff>434875</xdr:colOff>
      <xdr:row>60</xdr:row>
      <xdr:rowOff>79375</xdr:rowOff>
    </xdr:to>
    <mc:AlternateContent xmlns:mc="http://schemas.openxmlformats.org/markup-compatibility/2006" xmlns:a14="http://schemas.microsoft.com/office/drawing/2010/main">
      <mc:Choice Requires="a14">
        <xdr:graphicFrame macro="">
          <xdr:nvGraphicFramePr>
            <xdr:cNvPr id="10" name="Product Category 3">
              <a:extLst>
                <a:ext uri="{FF2B5EF4-FFF2-40B4-BE49-F238E27FC236}">
                  <a16:creationId xmlns:a16="http://schemas.microsoft.com/office/drawing/2014/main" id="{F9CE8323-EFC8-4AF3-ABAC-7E32B42B8DD7}"/>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18485716" y="8897215"/>
              <a:ext cx="4376204" cy="2438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832534837966" createdVersion="8" refreshedVersion="8" minRefreshableVersion="3" recordCount="0" supportSubquery="1" supportAdvancedDrill="1" xr:uid="{E5CA0614-46CD-477D-9C37-7F09CF4857C5}">
  <cacheSource type="external" connectionId="2"/>
  <cacheFields count="3">
    <cacheField name="[Measures].[Total Sales]" caption="Total Sales" numFmtId="0" hierarchy="29" level="32767"/>
    <cacheField name="[Measures].[Profit Margin %]" caption="Profit Margin %" numFmtId="0" hierarchy="33" level="32767"/>
    <cacheField name="[Orders].[Order Date (Month)].[Order Date (Month)]" caption="Order Date (Month)" numFmtId="0" hierarchy="23" level="1">
      <sharedItems count="6">
        <s v="Jan"/>
        <s v="Feb"/>
        <s v="Mar"/>
        <s v="Apr"/>
        <s v="May"/>
        <s v="Jun"/>
      </sharedItems>
    </cacheField>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oneField="1">
      <fieldsUsage count="1">
        <fieldUsage x="1"/>
      </fieldsUsage>
    </cacheHierarchy>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13229166668" createdVersion="8" refreshedVersion="8" minRefreshableVersion="3" recordCount="0" supportSubquery="1" supportAdvancedDrill="1" xr:uid="{A7FF4BCD-B8EE-492E-8850-FE900984A6C4}">
  <cacheSource type="external" connectionId="2"/>
  <cacheFields count="5">
    <cacheField name="[Measures].[Total Sales]" caption="Total Sales" numFmtId="0" hierarchy="29" level="32767"/>
    <cacheField name="[Measures].[Total Profit]" caption="Total Profit" numFmtId="0" hierarchy="30" level="32767"/>
    <cacheField name="[Measures].[Profit Margin %]" caption="Profit Margin %" numFmtId="0" hierarchy="33" level="32767"/>
    <cacheField name="[Measures].[Average days to ship]" caption="Average days to ship" numFmtId="0" hierarchy="34" level="32767"/>
    <cacheField name="[Measures].[Return Rate %]" caption="Return Rate %" numFmtId="0" hierarchy="35" level="32767"/>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oneField="1">
      <fieldsUsage count="1">
        <fieldUsage x="2"/>
      </fieldsUsage>
    </cacheHierarchy>
    <cacheHierarchy uniqueName="[Measures].[Average days to ship]" caption="Average days to ship" measure="1" displayFolder="" measureGroup="Orders" count="0" oneField="1">
      <fieldsUsage count="1">
        <fieldUsage x="3"/>
      </fieldsUsage>
    </cacheHierarchy>
    <cacheHierarchy uniqueName="[Measures].[Return Rate %]" caption="Return Rate %" measure="1" displayFolder="" measureGroup="Orders" count="0" oneField="1">
      <fieldsUsage count="1">
        <fieldUsage x="4"/>
      </fieldsUsage>
    </cacheHierarchy>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13230555554" createdVersion="8" refreshedVersion="8" minRefreshableVersion="3" recordCount="0" supportSubquery="1" supportAdvancedDrill="1" xr:uid="{023ED2EF-93D5-454B-9799-28A3ED3E4A2F}">
  <cacheSource type="external" connectionId="2"/>
  <cacheFields count="2">
    <cacheField name="[Users].[Manager].[Manager]" caption="Manager" numFmtId="0" hierarchy="27" level="1">
      <sharedItems count="4">
        <s v="Chris"/>
        <s v="Erin"/>
        <s v="Sam"/>
        <s v="William"/>
      </sharedItems>
    </cacheField>
    <cacheField name="[Measures].[Sum of Profit]" caption="Sum of Profit" numFmtId="0" hierarchy="41" level="32767"/>
  </cacheFields>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2" memberValueDatatype="130" unbalanced="0">
      <fieldsUsage count="2">
        <fieldUsage x="-1"/>
        <fieldUsage x="0"/>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1203704" createdVersion="8" refreshedVersion="8" minRefreshableVersion="3" recordCount="0" supportSubquery="1" supportAdvancedDrill="1" xr:uid="{B444BF27-50D3-4FB0-9C3D-1188C7D7156B}">
  <cacheSource type="external" connectionId="2"/>
  <cacheFields count="3">
    <cacheField name="[Orders].[City].[City]" caption="City" numFmtId="0" hierarchy="15" level="1">
      <sharedItems count="10">
        <s v="Bangor"/>
        <s v="Cincinnati"/>
        <s v="Greenville"/>
        <s v="Harrison"/>
        <s v="Los Angeles"/>
        <s v="New City"/>
        <s v="Steubenville"/>
        <s v="Thornton"/>
        <s v="Washington"/>
        <s v="Woodburn"/>
      </sharedItems>
    </cacheField>
    <cacheField name="[Measures].[Sum of Profit]" caption="Sum of Profit" numFmtId="0" hierarchy="41" level="32767"/>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5"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Days to ship]" caption="Days to ship" attribute="1" defaultMemberUniqueName="[Orders].[Days to ship].[All]" allUniqueName="[Orders].[Days to ship].[All]" dimensionUniqueName="[Orders]" displayFolder="" count="2" memberValueDatatype="2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Returns].[Order ID]" caption="Order ID" attribute="1" defaultMemberUniqueName="[Returns].[Order ID].[All]" allUniqueName="[Returns].[Order ID].[All]" dimensionUniqueName="[Returns]" displayFolder="" count="2" memberValueDatatype="5"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259259" createdVersion="8" refreshedVersion="8" minRefreshableVersion="3" recordCount="0" supportSubquery="1" supportAdvancedDrill="1" xr:uid="{C506625C-D234-4D8C-B030-773FB5B7C370}">
  <cacheSource type="external" connectionId="2"/>
  <cacheFields count="3">
    <cacheField name="[Measures].[Sum of Profit]" caption="Sum of Profit" numFmtId="0" hierarchy="41" level="32767"/>
    <cacheField name="[Orders].[Product Name].[Product Name]" caption="Product Name" numFmtId="0" hierarchy="10" level="1">
      <sharedItems count="3">
        <s v="5165"/>
        <s v="Okidata Pacemark 4410N Wide Format Dot Matrix Printer"/>
        <s v="Polycom ViewStation™ ISDN Videoconferencing Unit"/>
      </sharedItems>
    </cacheField>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3402775" createdVersion="8" refreshedVersion="8" minRefreshableVersion="3" recordCount="0" supportSubquery="1" supportAdvancedDrill="1" xr:uid="{2EBED683-8864-4C66-A20D-A5880008B51E}">
  <cacheSource type="external" connectionId="2"/>
  <cacheFields count="3">
    <cacheField name="[Measures].[Number of Orders]" caption="Number of Orders" numFmtId="0" hierarchy="32" level="32767"/>
    <cacheField name="[Orders].[Ship Mode].[Ship Mode]" caption="Ship Mode" numFmtId="0" hierarchy="5" level="1">
      <sharedItems count="3">
        <s v="Delivery Truck"/>
        <s v="Express Air"/>
        <s v="Regular Air"/>
      </sharedItems>
    </cacheField>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oneField="1">
      <fieldsUsage count="1">
        <fieldUsage x="0"/>
      </fieldsUsage>
    </cacheHierarchy>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3.42114421296" createdVersion="8" refreshedVersion="8" minRefreshableVersion="3" recordCount="0" supportSubquery="1" supportAdvancedDrill="1" xr:uid="{D0FC8DD9-7F71-45E2-8E7D-DEEA27824BCE}">
  <cacheSource type="external" connectionId="2"/>
  <cacheFields count="3">
    <cacheField name="[Orders].[State or Province].[State or Province]" caption="State or Province" numFmtId="0" hierarchy="14" level="1">
      <sharedItems count="5">
        <s v="California"/>
        <s v="New York"/>
        <s v="Ohio"/>
        <s v="Oregon"/>
        <s v="Texas"/>
      </sharedItems>
    </cacheField>
    <cacheField name="[Measures].[Sum of Profit]" caption="Sum of Profit" numFmtId="0" hierarchy="41" level="32767"/>
    <cacheField name="[Orders].[Order Priority].[Order Priority]" caption="Order Priority" numFmtId="0" level="1">
      <sharedItems containsSemiMixedTypes="0" containsNonDate="0" containsString="0"/>
    </cacheField>
  </cacheFields>
  <cacheHierarchies count="42">
    <cacheHierarchy uniqueName="[Orders].[Order Priority]" caption="Order Priority" attribute="1" defaultMemberUniqueName="[Orders].[Order Priority].[All]" allUniqueName="[Orders].[Order Priority].[All]" dimensionUniqueName="[Orders]" displayFolder="" count="2" memberValueDatatype="130" unbalanced="0">
      <fieldsUsage count="2">
        <fieldUsage x="-1"/>
        <fieldUsage x="2"/>
      </fieldsUsage>
    </cacheHierarchy>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823553819442" createdVersion="3" refreshedVersion="8" minRefreshableVersion="3" recordCount="0" supportSubquery="1" supportAdvancedDrill="1" xr:uid="{D9A5E023-36A2-4BBE-878E-0CBD9F254AD4}">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6743816"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gel Benit Veronica J" refreshedDate="46082.903211111108" createdVersion="3" refreshedVersion="8" minRefreshableVersion="3" recordCount="0" supportSubquery="1" supportAdvancedDrill="1" xr:uid="{39701378-B588-4435-97E7-D230B68392BE}">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5"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Days to ship]" caption="Days to ship" attribute="1" defaultMemberUniqueName="[Orders].[Days to ship].[All]" allUniqueName="[Orders].[Days to ship].[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5"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Number of Orders]" caption="Number of Orders" measure="1" displayFolder="" measureGroup="Orders" count="0"/>
    <cacheHierarchy uniqueName="[Measures].[Profit Margin %]" caption="Profit Margin %" measure="1" displayFolder="" measureGroup="Orders" count="0"/>
    <cacheHierarchy uniqueName="[Measures].[Average days to ship]" caption="Average days to ship" measure="1" displayFolder="" measureGroup="Orders" count="0"/>
    <cacheHierarchy uniqueName="[Measures].[Return Rate %]" caption="Return Rate %" measure="1" displayFolder="" measureGroup="Orders" count="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Order ID]" caption="Sum of Order ID" measure="1" displayFolder="" measureGroup="Orders" count="0" hidden="1">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16934231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7CC9D-F5AD-4328-85A4-6F5DCB4DB647}" name="TOP10PROFITABLECITIES" cacheId="3" applyNumberFormats="0" applyBorderFormats="0" applyFontFormats="0" applyPatternFormats="0" applyAlignmentFormats="0" applyWidthHeightFormats="1" dataCaption="Values" tag="73097d02-0546-4c3a-a4fe-74255a923dfa" updatedVersion="8" minRefreshableVersion="5" useAutoFormatting="1" itemPrintTitles="1" createdVersion="8" indent="0" outline="1" outlineData="1" multipleFieldFilters="0" chartFormat="6">
  <location ref="A99:B110"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i>
    <i>
      <x v="1"/>
    </i>
    <i>
      <x v="9"/>
    </i>
    <i>
      <x v="4"/>
    </i>
    <i>
      <x v="2"/>
    </i>
    <i>
      <x v="3"/>
    </i>
    <i>
      <x v="5"/>
    </i>
    <i>
      <x v="7"/>
    </i>
    <i>
      <x v="8"/>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2" iMeasureHier="4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C2F5A6-578D-42EA-B482-8CC9DDBD8A54}" name="TOP5PROFITABLESTATES" cacheId="6" applyNumberFormats="0" applyBorderFormats="0" applyFontFormats="0" applyPatternFormats="0" applyAlignmentFormats="0" applyWidthHeightFormats="1" dataCaption="Values" tag="b5c0540d-f5f3-4ef9-a0de-dcfe7807fddd" updatedVersion="8" minRefreshableVersion="5" useAutoFormatting="1" itemPrintTitles="1" createdVersion="8" indent="0" outline="1" outlineData="1" multipleFieldFilters="0" chartFormat="7">
  <location ref="A83:B8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6B212-C3D1-414C-AA8D-A74EAD5658BC}" name="SALES&amp;PROFIT_TREND" cacheId="0" applyNumberFormats="0" applyBorderFormats="0" applyFontFormats="0" applyPatternFormats="0" applyAlignmentFormats="0" applyWidthHeightFormats="1" dataCaption="Values" tag="c31ac93c-e398-4121-b9e1-3bf8f6e36b82" updatedVersion="8" minRefreshableVersion="3" useAutoFormatting="1" itemPrintTitles="1" createdVersion="8" indent="0" outline="1" outlineData="1" multipleFieldFilters="0" chartFormat="12">
  <location ref="A11:C18"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2"/>
  </colFields>
  <colItems count="2">
    <i>
      <x/>
    </i>
    <i i="1">
      <x v="1"/>
    </i>
  </colItems>
  <dataFields count="2">
    <dataField fld="0" subtotal="count" baseField="0" baseItem="0"/>
    <dataFiel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 count="1" selected="0">
            <x v="5"/>
          </reference>
        </references>
      </pivotArea>
    </chartFormat>
    <chartFormat chart="9" format="7">
      <pivotArea type="data" outline="0" fieldPosition="0">
        <references count="2">
          <reference field="4294967294" count="1" selected="0">
            <x v="1"/>
          </reference>
          <reference field="2" count="1" selected="0">
            <x v="3"/>
          </reference>
        </references>
      </pivotArea>
    </chartFormat>
    <chartFormat chart="9" format="8">
      <pivotArea type="data" outline="0" fieldPosition="0">
        <references count="2">
          <reference field="4294967294" count="1" selected="0">
            <x v="1"/>
          </reference>
          <reference field="2" count="1" selected="0">
            <x v="4"/>
          </reference>
        </references>
      </pivotArea>
    </chartFormat>
    <chartFormat chart="9" format="9">
      <pivotArea type="data" outline="0" fieldPosition="0">
        <references count="2">
          <reference field="4294967294" count="1" selected="0">
            <x v="1"/>
          </reference>
          <reference field="2" count="1" selected="0">
            <x v="1"/>
          </reference>
        </references>
      </pivotArea>
    </chartFormat>
    <chartFormat chart="9" format="10">
      <pivotArea type="data" outline="0" fieldPosition="0">
        <references count="2">
          <reference field="4294967294" count="1" selected="0">
            <x v="1"/>
          </reference>
          <reference field="2" count="1" selected="0">
            <x v="2"/>
          </reference>
        </references>
      </pivotArea>
    </chartFormat>
    <chartFormat chart="9" format="11">
      <pivotArea type="data" outline="0" fieldPosition="0">
        <references count="2">
          <reference field="4294967294" count="1" selected="0">
            <x v="1"/>
          </reference>
          <reference field="2"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9F64BF-297E-4D2C-96C0-0F137A89839C}" name="KPI" cacheId="1" applyNumberFormats="0" applyBorderFormats="0" applyFontFormats="0" applyPatternFormats="0" applyAlignmentFormats="0" applyWidthHeightFormats="1" dataCaption="Values" tag="42b37286-bfdb-4119-9b10-cb9e5ef11fdb" updatedVersion="8" minRefreshableVersion="5" useAutoFormatting="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A540C-A76D-459A-960E-9B1C59E4438B}" name="LEASTPROFITABLE" cacheId="4" applyNumberFormats="0" applyBorderFormats="0" applyFontFormats="0" applyPatternFormats="0" applyAlignmentFormats="0" applyWidthHeightFormats="1" dataCaption="Values" tag="4c6a7e20-3dab-44e0-8726-5f9482a67d23" updatedVersion="8" minRefreshableVersion="5" useAutoFormatting="1" itemPrintTitles="1" createdVersion="8" indent="0" outline="1" outlineData="1" multipleFieldFilters="0" chartFormat="15">
  <location ref="A60:B64"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41">
      <autoFilter ref="A1">
        <filterColumn colId="0">
          <top10 top="0" val="3" filterVal="3"/>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D1FA5-1457-4AEB-8A0C-A2AC405E3371}" name="SHIPMENTMODE" cacheId="5" applyNumberFormats="0" applyBorderFormats="0" applyFontFormats="0" applyPatternFormats="0" applyAlignmentFormats="0" applyWidthHeightFormats="1" dataCaption="Values" tag="466919bc-4723-4a43-80e3-c081480fb8f6" updatedVersion="8" minRefreshableVersion="5" useAutoFormatting="1" itemPrintTitles="1" createdVersion="8" indent="0" outline="1" outlineData="1" multipleFieldFilters="0" chartFormat="4">
  <location ref="A44:B48"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2">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4B9C6A-4E15-46E0-9052-9C090E0846DA}" name="MANAGERPERFORMANCE" cacheId="2" applyNumberFormats="0" applyBorderFormats="0" applyFontFormats="0" applyPatternFormats="0" applyAlignmentFormats="0" applyWidthHeightFormats="1" dataCaption="Values" tag="fc45f505-8476-4841-abc7-93d59c64f593" updatedVersion="8" minRefreshableVersion="5" useAutoFormatting="1" subtotalHiddenItems="1" itemPrintTitles="1" createdVersion="8" indent="0" outline="1" outlineData="1" multipleFieldFilters="0" chartFormat="8">
  <location ref="A24:B29"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rofit"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s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76DB63CB-32B2-4BD9-9FE1-8291A023A383}" sourceName="[Orders].[Customer Segment]">
  <pivotTables>
    <pivotTable tabId="16" name="TOP10PROFITABLECITIES"/>
    <pivotTable tabId="16" name="LEASTPROFITABLE"/>
    <pivotTable tabId="16" name="SHIPMENTMODE"/>
    <pivotTable tabId="16" name="TOP5PROFITABLESTATES"/>
  </pivotTables>
  <data>
    <olap pivotCacheId="1716743816">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1" xr10:uid="{4EBE0726-51AE-41D4-99D4-003634D691A9}" sourceName="[Orders].[Order Priority]">
  <pivotTables>
    <pivotTable tabId="16" name="TOP10PROFITABLECITIES"/>
    <pivotTable tabId="16" name="LEASTPROFITABLE"/>
    <pivotTable tabId="16" name="SHIPMENTMODE"/>
    <pivotTable tabId="16" name="TOP5PROFITABLESTATES"/>
  </pivotTables>
  <data>
    <olap pivotCacheId="1716743816">
      <levels count="2">
        <level uniqueName="[Orders].[Order Priority].[(All)]" sourceCaption="(All)" count="0"/>
        <level uniqueName="[Orders].[Order Priority].[Order Priority]" sourceCaption="Order Priority" count="5">
          <ranges>
            <range startItem="0">
              <i n="[Orders].[Order Priority].&amp;[Critical]" c="Critical"/>
              <i n="[Orders].[Order Priority].&amp;[High]" c="High"/>
              <i n="[Orders].[Order Priority].&amp;[Low]" c="Low"/>
              <i n="[Orders].[Order Priority].&amp;[Medium]" c="Medium"/>
              <i n="[Orders].[Order Priority].&amp;[Not Specified]" c="Not Specified"/>
            </range>
          </ranges>
        </level>
      </levels>
      <selections count="1">
        <selection n="[Orders].[Order 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0EEDFFC1-1653-4F29-96B7-495285B84A77}" sourceName="[Orders].[Product Category]">
  <pivotTables>
    <pivotTable tabId="16" name="TOP10PROFITABLECITIES"/>
    <pivotTable tabId="16" name="LEASTPROFITABLE"/>
    <pivotTable tabId="16" name="SHIPMENTMODE"/>
    <pivotTable tabId="16" name="TOP5PROFITABLESTATES"/>
  </pivotTables>
  <data>
    <olap pivotCacheId="1716743816">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3C26897A-12C4-4CFF-B9A4-193DA8F62942}" cache="Slicer_Customer_Segment1" caption="Customer Segment" level="1" style="Slicer Style 1" rowHeight="251883"/>
  <slicer name="Order Priority 2" xr10:uid="{66137E94-99FB-4AB7-B2CE-B309C5A8D261}" cache="Slicer_Order_Priority1" caption="Order Priority" level="1" style="Slicer Style 1" rowHeight="251883"/>
  <slicer name="Product Category 2" xr10:uid="{E49290A0-8B5F-4C39-A231-2DD0169F8F6C}" cache="Slicer_Product_Category1" caption="Product Category" level="1" style="Slicer Style 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2" xr10:uid="{36DC15B0-3E69-4423-93E6-3B7940B88AB5}" cache="Slicer_Customer_Segment1" caption="Customer Segment" startItem="1" level="1" style="Slicer Style 1" rowHeight="576000"/>
  <slicer name="Order Priority 3" xr10:uid="{BBE286D7-11D1-4833-A6EA-531EB90ECA65}" cache="Slicer_Order_Priority1" caption="Order Priority" level="1" style="Slicer Style 1" rowHeight="576000"/>
  <slicer name="Product Category 3" xr10:uid="{E9C55BE4-6635-411D-9846-8E26CC3D61D8}" cache="Slicer_Product_Category1" caption="Product Category" level="1" style="Slicer Style 1" rowHeight="57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1" xr10:uid="{4D3B2C9C-B32F-4FA2-99A8-5BB997D6CC58}" sourceName="[Orders].[Order Date]">
  <pivotTables>
    <pivotTable tabId="16" name="TOP10PROFITABLECITIES"/>
    <pivotTable tabId="16" name="KPI"/>
    <pivotTable tabId="16" name="LEASTPROFITABLE"/>
    <pivotTable tabId="16" name="MANAGERPERFORMANCE"/>
    <pivotTable tabId="16" name="SHIPMENTMODE"/>
    <pivotTable tabId="16" name="TOP5PROFITABLESTATES"/>
  </pivotTables>
  <state minimalRefreshVersion="6" lastRefreshVersion="6" pivotCacheId="1693423175"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BA7EA8C-089F-40BF-907E-72D858B742CA}" cache="Timeline_Order_Date1" caption="Order Date" level="2" selectionLevel="2" scrollPosition="2015-01-01T00:00:00" style="Timeline Style 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9D9F7FF5-0740-4F6B-8438-A90876952131}" cache="Timeline_Order_Date1" caption="Order Date" level="2" selectionLevel="2" scrollPosition="2015-01-01T00:00:00" style="Timeline Style 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7979EF-BB0D-4BC3-938D-141CD663238C}">
  <we:reference id="wa104381270" version="1.1.0.0" store="en-US" storeType="OMEX"/>
  <we:alternateReferences>
    <we:reference id="WA104381270" version="1.1.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A0D11-B47D-458C-83D9-3E815E458579}">
  <dimension ref="A1:E110"/>
  <sheetViews>
    <sheetView topLeftCell="A99" workbookViewId="0">
      <selection activeCell="A99" sqref="A99"/>
    </sheetView>
  </sheetViews>
  <sheetFormatPr defaultRowHeight="14.5" x14ac:dyDescent="0.35"/>
  <cols>
    <col min="1" max="1" width="12.453125" bestFit="1" customWidth="1"/>
    <col min="2" max="2" width="11.81640625" bestFit="1" customWidth="1"/>
    <col min="3" max="3" width="13.36328125" bestFit="1" customWidth="1"/>
    <col min="4" max="4" width="17.81640625" bestFit="1" customWidth="1"/>
    <col min="5" max="5" width="12.54296875" bestFit="1" customWidth="1"/>
    <col min="6" max="12" width="15.6328125" bestFit="1" customWidth="1"/>
    <col min="13" max="13" width="14.36328125" bestFit="1" customWidth="1"/>
    <col min="14" max="14" width="17.90625" bestFit="1" customWidth="1"/>
    <col min="15" max="358" width="15.6328125" bestFit="1" customWidth="1"/>
    <col min="359" max="359" width="14.36328125" bestFit="1" customWidth="1"/>
    <col min="360" max="360" width="17.90625" bestFit="1" customWidth="1"/>
  </cols>
  <sheetData>
    <row r="1" spans="1:5" x14ac:dyDescent="0.35">
      <c r="A1" t="s">
        <v>0</v>
      </c>
      <c r="B1" t="s">
        <v>1</v>
      </c>
      <c r="C1" t="s">
        <v>2</v>
      </c>
      <c r="D1" t="s">
        <v>24</v>
      </c>
      <c r="E1" t="s">
        <v>25</v>
      </c>
    </row>
    <row r="2" spans="1:5" x14ac:dyDescent="0.35">
      <c r="A2" s="2">
        <v>1924337.88</v>
      </c>
      <c r="B2" s="3">
        <v>224077.61183715003</v>
      </c>
      <c r="C2" s="4">
        <v>0.11644400609998388</v>
      </c>
      <c r="D2" s="3">
        <v>1.9405737704918034</v>
      </c>
      <c r="E2" s="8">
        <v>8.0586080586080595E-3</v>
      </c>
    </row>
    <row r="4" spans="1:5" x14ac:dyDescent="0.35">
      <c r="A4" s="2">
        <f>GETPIVOTDATA("[Measures].[Total Sales]",$A$1)</f>
        <v>1924337.88</v>
      </c>
    </row>
    <row r="5" spans="1:5" x14ac:dyDescent="0.35">
      <c r="A5" s="2">
        <f>GETPIVOTDATA("[Measures].[Total Profit]",$A$1)</f>
        <v>224077.61183715003</v>
      </c>
    </row>
    <row r="6" spans="1:5" x14ac:dyDescent="0.35">
      <c r="A6" s="7">
        <f>GETPIVOTDATA("[Measures].[Profit Margin %]",$A$1)</f>
        <v>0.11644400609998388</v>
      </c>
    </row>
    <row r="7" spans="1:5" x14ac:dyDescent="0.35">
      <c r="A7" s="3">
        <f>GETPIVOTDATA("[Measures].[Average days to ship]",$A$1)</f>
        <v>1.9405737704918034</v>
      </c>
    </row>
    <row r="8" spans="1:5" x14ac:dyDescent="0.35">
      <c r="A8" s="7">
        <f>GETPIVOTDATA("[Measures].[Return Rate %]",$A$1)</f>
        <v>8.0586080586080595E-3</v>
      </c>
    </row>
    <row r="11" spans="1:5" x14ac:dyDescent="0.35">
      <c r="A11" s="5" t="s">
        <v>3</v>
      </c>
      <c r="B11" t="s">
        <v>0</v>
      </c>
      <c r="C11" t="s">
        <v>2</v>
      </c>
    </row>
    <row r="12" spans="1:5" x14ac:dyDescent="0.35">
      <c r="A12" s="6" t="s">
        <v>5</v>
      </c>
      <c r="B12" s="2">
        <v>274766.92</v>
      </c>
      <c r="C12" s="4">
        <v>3.7984103023755364E-3</v>
      </c>
    </row>
    <row r="13" spans="1:5" x14ac:dyDescent="0.35">
      <c r="A13" s="6" t="s">
        <v>6</v>
      </c>
      <c r="B13" s="2">
        <v>326101.46999999997</v>
      </c>
      <c r="C13" s="4">
        <v>0.11022538101505654</v>
      </c>
    </row>
    <row r="14" spans="1:5" x14ac:dyDescent="0.35">
      <c r="A14" s="6" t="s">
        <v>7</v>
      </c>
      <c r="B14" s="2">
        <v>271696.67</v>
      </c>
      <c r="C14" s="4">
        <v>3.7968660694293619E-4</v>
      </c>
    </row>
    <row r="15" spans="1:5" x14ac:dyDescent="0.35">
      <c r="A15" s="6" t="s">
        <v>8</v>
      </c>
      <c r="B15" s="2">
        <v>389831.95</v>
      </c>
      <c r="C15" s="4">
        <v>0.13633159750502755</v>
      </c>
    </row>
    <row r="16" spans="1:5" x14ac:dyDescent="0.35">
      <c r="A16" s="6" t="s">
        <v>9</v>
      </c>
      <c r="B16" s="2">
        <v>306572.07</v>
      </c>
      <c r="C16" s="4">
        <v>0.21855458932837571</v>
      </c>
    </row>
    <row r="17" spans="1:3" x14ac:dyDescent="0.35">
      <c r="A17" s="6" t="s">
        <v>10</v>
      </c>
      <c r="B17" s="2">
        <v>355368.8</v>
      </c>
      <c r="C17" s="4">
        <v>0.18807776768810308</v>
      </c>
    </row>
    <row r="18" spans="1:3" x14ac:dyDescent="0.35">
      <c r="A18" s="6" t="s">
        <v>4</v>
      </c>
      <c r="B18" s="2">
        <v>1924337.88</v>
      </c>
      <c r="C18" s="4">
        <v>0.11644400609998388</v>
      </c>
    </row>
    <row r="24" spans="1:3" x14ac:dyDescent="0.35">
      <c r="A24" s="5" t="s">
        <v>3</v>
      </c>
      <c r="B24" t="s">
        <v>31</v>
      </c>
    </row>
    <row r="25" spans="1:3" x14ac:dyDescent="0.35">
      <c r="A25" s="6" t="s">
        <v>27</v>
      </c>
      <c r="B25">
        <v>77365.472668600007</v>
      </c>
    </row>
    <row r="26" spans="1:3" x14ac:dyDescent="0.35">
      <c r="A26" s="6" t="s">
        <v>28</v>
      </c>
      <c r="B26">
        <v>85291.403445999982</v>
      </c>
    </row>
    <row r="27" spans="1:3" x14ac:dyDescent="0.35">
      <c r="A27" s="6" t="s">
        <v>29</v>
      </c>
      <c r="B27">
        <v>-14424.054379450004</v>
      </c>
    </row>
    <row r="28" spans="1:3" x14ac:dyDescent="0.35">
      <c r="A28" s="6" t="s">
        <v>30</v>
      </c>
      <c r="B28">
        <v>75844.790101999999</v>
      </c>
    </row>
    <row r="29" spans="1:3" x14ac:dyDescent="0.35">
      <c r="A29" s="6" t="s">
        <v>4</v>
      </c>
      <c r="B29">
        <v>224077.61183715003</v>
      </c>
    </row>
    <row r="44" spans="1:2" x14ac:dyDescent="0.35">
      <c r="A44" s="5" t="s">
        <v>3</v>
      </c>
      <c r="B44" t="s">
        <v>11</v>
      </c>
    </row>
    <row r="45" spans="1:2" x14ac:dyDescent="0.35">
      <c r="A45" s="6" t="s">
        <v>26</v>
      </c>
      <c r="B45" s="3">
        <v>262</v>
      </c>
    </row>
    <row r="46" spans="1:2" x14ac:dyDescent="0.35">
      <c r="A46" s="6" t="s">
        <v>20</v>
      </c>
      <c r="B46" s="3">
        <v>229</v>
      </c>
    </row>
    <row r="47" spans="1:2" x14ac:dyDescent="0.35">
      <c r="A47" s="6" t="s">
        <v>12</v>
      </c>
      <c r="B47" s="3">
        <v>1093</v>
      </c>
    </row>
    <row r="48" spans="1:2" x14ac:dyDescent="0.35">
      <c r="A48" s="6" t="s">
        <v>4</v>
      </c>
      <c r="B48" s="3">
        <v>1365</v>
      </c>
    </row>
    <row r="60" spans="1:2" x14ac:dyDescent="0.35">
      <c r="A60" s="5" t="s">
        <v>3</v>
      </c>
      <c r="B60" t="s">
        <v>31</v>
      </c>
    </row>
    <row r="61" spans="1:2" x14ac:dyDescent="0.35">
      <c r="A61" s="6" t="s">
        <v>19</v>
      </c>
      <c r="B61">
        <v>-12548.946099999999</v>
      </c>
    </row>
    <row r="62" spans="1:2" x14ac:dyDescent="0.35">
      <c r="A62" s="6" t="s">
        <v>22</v>
      </c>
      <c r="B62">
        <v>-10999.533191999999</v>
      </c>
    </row>
    <row r="63" spans="1:2" x14ac:dyDescent="0.35">
      <c r="A63" s="6" t="s">
        <v>23</v>
      </c>
      <c r="B63">
        <v>-27621.245408000002</v>
      </c>
    </row>
    <row r="64" spans="1:2" x14ac:dyDescent="0.35">
      <c r="A64" s="6" t="s">
        <v>4</v>
      </c>
      <c r="B64">
        <v>-51169.724699999999</v>
      </c>
    </row>
    <row r="83" spans="1:2" x14ac:dyDescent="0.35">
      <c r="A83" s="5" t="s">
        <v>3</v>
      </c>
      <c r="B83" t="s">
        <v>31</v>
      </c>
    </row>
    <row r="84" spans="1:2" x14ac:dyDescent="0.35">
      <c r="A84" s="6" t="s">
        <v>15</v>
      </c>
      <c r="B84">
        <v>37421.96019200002</v>
      </c>
    </row>
    <row r="85" spans="1:2" x14ac:dyDescent="0.35">
      <c r="A85" s="6" t="s">
        <v>17</v>
      </c>
      <c r="B85">
        <v>27611.943318599984</v>
      </c>
    </row>
    <row r="86" spans="1:2" x14ac:dyDescent="0.35">
      <c r="A86" s="6" t="s">
        <v>14</v>
      </c>
      <c r="B86">
        <v>23410.842026000017</v>
      </c>
    </row>
    <row r="87" spans="1:2" x14ac:dyDescent="0.35">
      <c r="A87" s="6" t="s">
        <v>18</v>
      </c>
      <c r="B87">
        <v>17931.043399999999</v>
      </c>
    </row>
    <row r="88" spans="1:2" x14ac:dyDescent="0.35">
      <c r="A88" s="6" t="s">
        <v>16</v>
      </c>
      <c r="B88">
        <v>28078.85066</v>
      </c>
    </row>
    <row r="89" spans="1:2" x14ac:dyDescent="0.35">
      <c r="A89" s="6" t="s">
        <v>4</v>
      </c>
      <c r="B89">
        <v>134454.63959660014</v>
      </c>
    </row>
    <row r="99" spans="1:2" x14ac:dyDescent="0.35">
      <c r="A99" s="5" t="s">
        <v>3</v>
      </c>
      <c r="B99" t="s">
        <v>31</v>
      </c>
    </row>
    <row r="100" spans="1:2" x14ac:dyDescent="0.35">
      <c r="A100" s="6" t="s">
        <v>38</v>
      </c>
      <c r="B100">
        <v>6621.0019999999995</v>
      </c>
    </row>
    <row r="101" spans="1:2" x14ac:dyDescent="0.35">
      <c r="A101" s="6" t="s">
        <v>32</v>
      </c>
      <c r="B101">
        <v>7139.130149999999</v>
      </c>
    </row>
    <row r="102" spans="1:2" x14ac:dyDescent="0.35">
      <c r="A102" s="6" t="s">
        <v>33</v>
      </c>
      <c r="B102">
        <v>7257.7599999999993</v>
      </c>
    </row>
    <row r="103" spans="1:2" x14ac:dyDescent="0.35">
      <c r="A103" s="6" t="s">
        <v>40</v>
      </c>
      <c r="B103">
        <v>7495.0609999999997</v>
      </c>
    </row>
    <row r="104" spans="1:2" x14ac:dyDescent="0.35">
      <c r="A104" s="6" t="s">
        <v>36</v>
      </c>
      <c r="B104">
        <v>7865.8371799999986</v>
      </c>
    </row>
    <row r="105" spans="1:2" x14ac:dyDescent="0.35">
      <c r="A105" s="6" t="s">
        <v>34</v>
      </c>
      <c r="B105">
        <v>8658.9505800000006</v>
      </c>
    </row>
    <row r="106" spans="1:2" x14ac:dyDescent="0.35">
      <c r="A106" s="6" t="s">
        <v>35</v>
      </c>
      <c r="B106">
        <v>8839.2294599999987</v>
      </c>
    </row>
    <row r="107" spans="1:2" x14ac:dyDescent="0.35">
      <c r="A107" s="6" t="s">
        <v>37</v>
      </c>
      <c r="B107">
        <v>9243.2576999999983</v>
      </c>
    </row>
    <row r="108" spans="1:2" x14ac:dyDescent="0.35">
      <c r="A108" s="6" t="s">
        <v>39</v>
      </c>
      <c r="B108">
        <v>9300.3400999999976</v>
      </c>
    </row>
    <row r="109" spans="1:2" x14ac:dyDescent="0.35">
      <c r="A109" s="6" t="s">
        <v>13</v>
      </c>
      <c r="B109">
        <v>11677.363099999999</v>
      </c>
    </row>
    <row r="110" spans="1:2" x14ac:dyDescent="0.35">
      <c r="A110" s="6" t="s">
        <v>4</v>
      </c>
      <c r="B110">
        <v>84097.931269999986</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6EC8C-C1B8-45D3-A179-3D757634F439}">
  <dimension ref="W2"/>
  <sheetViews>
    <sheetView showGridLines="0" tabSelected="1" zoomScale="39" zoomScaleNormal="39" workbookViewId="0">
      <selection activeCell="K63" sqref="K63"/>
    </sheetView>
  </sheetViews>
  <sheetFormatPr defaultRowHeight="14.5" x14ac:dyDescent="0.35"/>
  <cols>
    <col min="1" max="16384" width="8.7265625" style="1"/>
  </cols>
  <sheetData>
    <row r="2" spans="23:23" x14ac:dyDescent="0.35">
      <c r="W2" s="1" t="s">
        <v>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3AE7C9D3-D665-48FA-8E44-C215B701AC67}">
  <ds:schemaRefs/>
</ds:datastoreItem>
</file>

<file path=customXml/itemProps2.xml><?xml version="1.0" encoding="utf-8"?>
<ds:datastoreItem xmlns:ds="http://schemas.openxmlformats.org/officeDocument/2006/customXml" ds:itemID="{5333D98F-754C-4922-A42F-82560581DC32}">
  <ds:schemaRefs/>
</ds:datastoreItem>
</file>

<file path=customXml/itemProps3.xml><?xml version="1.0" encoding="utf-8"?>
<ds:datastoreItem xmlns:ds="http://schemas.openxmlformats.org/officeDocument/2006/customXml" ds:itemID="{B55F09EE-7C01-47A3-A4C2-E9CB69AB18AE}">
  <ds:schemaRefs/>
</ds:datastoreItem>
</file>

<file path=customXml/itemProps4.xml><?xml version="1.0" encoding="utf-8"?>
<ds:datastoreItem xmlns:ds="http://schemas.openxmlformats.org/officeDocument/2006/customXml" ds:itemID="{D24B063F-EC19-4C17-B344-0C1C16E4AED5}">
  <ds:schemaRefs/>
</ds:datastoreItem>
</file>

<file path=customXml/itemProps5.xml><?xml version="1.0" encoding="utf-8"?>
<ds:datastoreItem xmlns:ds="http://schemas.openxmlformats.org/officeDocument/2006/customXml" ds:itemID="{8BA83A91-8A1F-4F2A-8C4A-33EB13FABE17}">
  <ds:schemaRefs/>
</ds:datastoreItem>
</file>

<file path=customXml/itemProps6.xml><?xml version="1.0" encoding="utf-8"?>
<ds:datastoreItem xmlns:ds="http://schemas.openxmlformats.org/officeDocument/2006/customXml" ds:itemID="{1053D8BD-899F-4E2C-AB68-5253F42B68DC}">
  <ds:schemaRefs/>
</ds:datastoreItem>
</file>

<file path=customXml/itemProps7.xml><?xml version="1.0" encoding="utf-8"?>
<ds:datastoreItem xmlns:ds="http://schemas.openxmlformats.org/officeDocument/2006/customXml" ds:itemID="{5025C531-95A5-497C-A57A-D1E0AEAC4F5C}">
  <ds:schemaRefs/>
</ds:datastoreItem>
</file>

<file path=customXml/itemProps8.xml><?xml version="1.0" encoding="utf-8"?>
<ds:datastoreItem xmlns:ds="http://schemas.openxmlformats.org/officeDocument/2006/customXml" ds:itemID="{4833E628-FAAD-4AC3-86BA-5D2A88D72CB9}">
  <ds:schemaRefs/>
</ds:datastoreItem>
</file>

<file path=customXml/itemProps9.xml><?xml version="1.0" encoding="utf-8"?>
<ds:datastoreItem xmlns:ds="http://schemas.openxmlformats.org/officeDocument/2006/customXml" ds:itemID="{CE9ED60D-D29F-4DD7-87FF-582EE152B3A2}">
  <ds:schemaRefs/>
</ds:datastoreItem>
</file>

<file path=customXml/itemProps10.xml><?xml version="1.0" encoding="utf-8"?>
<ds:datastoreItem xmlns:ds="http://schemas.openxmlformats.org/officeDocument/2006/customXml" ds:itemID="{F13DDBBB-A988-4D22-9008-EAADB3554A1D}">
  <ds:schemaRefs/>
</ds:datastoreItem>
</file>

<file path=customXml/itemProps11.xml><?xml version="1.0" encoding="utf-8"?>
<ds:datastoreItem xmlns:ds="http://schemas.openxmlformats.org/officeDocument/2006/customXml" ds:itemID="{605C32CA-2721-4400-A5B6-FD5BC8EBA5DB}">
  <ds:schemaRefs/>
</ds:datastoreItem>
</file>

<file path=customXml/itemProps12.xml><?xml version="1.0" encoding="utf-8"?>
<ds:datastoreItem xmlns:ds="http://schemas.openxmlformats.org/officeDocument/2006/customXml" ds:itemID="{9D397C84-06EA-4587-8F32-322F9D86F7F4}">
  <ds:schemaRefs/>
</ds:datastoreItem>
</file>

<file path=customXml/itemProps13.xml><?xml version="1.0" encoding="utf-8"?>
<ds:datastoreItem xmlns:ds="http://schemas.openxmlformats.org/officeDocument/2006/customXml" ds:itemID="{34B2F559-CC31-44A8-8950-96C93B8CE107}">
  <ds:schemaRefs/>
</ds:datastoreItem>
</file>

<file path=customXml/itemProps14.xml><?xml version="1.0" encoding="utf-8"?>
<ds:datastoreItem xmlns:ds="http://schemas.openxmlformats.org/officeDocument/2006/customXml" ds:itemID="{16FB6B6B-FE74-4799-9B7F-41B1AC34EAF7}">
  <ds:schemaRefs/>
</ds:datastoreItem>
</file>

<file path=customXml/itemProps15.xml><?xml version="1.0" encoding="utf-8"?>
<ds:datastoreItem xmlns:ds="http://schemas.openxmlformats.org/officeDocument/2006/customXml" ds:itemID="{C35408A4-1375-410D-82CC-3AAB71CE32D8}">
  <ds:schemaRefs/>
</ds:datastoreItem>
</file>

<file path=customXml/itemProps16.xml><?xml version="1.0" encoding="utf-8"?>
<ds:datastoreItem xmlns:ds="http://schemas.openxmlformats.org/officeDocument/2006/customXml" ds:itemID="{752DEF32-8F24-4461-BC5E-92F7DEB523DC}">
  <ds:schemaRefs/>
</ds:datastoreItem>
</file>

<file path=customXml/itemProps17.xml><?xml version="1.0" encoding="utf-8"?>
<ds:datastoreItem xmlns:ds="http://schemas.openxmlformats.org/officeDocument/2006/customXml" ds:itemID="{22BBD83F-09CA-4508-9EFF-3CCEE6217845}">
  <ds:schemaRefs/>
</ds:datastoreItem>
</file>

<file path=customXml/itemProps18.xml><?xml version="1.0" encoding="utf-8"?>
<ds:datastoreItem xmlns:ds="http://schemas.openxmlformats.org/officeDocument/2006/customXml" ds:itemID="{32A9E307-5EF1-4F59-8636-F149BBCC215F}">
  <ds:schemaRefs/>
</ds:datastoreItem>
</file>

<file path=customXml/itemProps19.xml><?xml version="1.0" encoding="utf-8"?>
<ds:datastoreItem xmlns:ds="http://schemas.openxmlformats.org/officeDocument/2006/customXml" ds:itemID="{7E1AF73B-A300-433A-83BD-8BB82CDEA32A}">
  <ds:schemaRefs/>
</ds:datastoreItem>
</file>

<file path=customXml/itemProps20.xml><?xml version="1.0" encoding="utf-8"?>
<ds:datastoreItem xmlns:ds="http://schemas.openxmlformats.org/officeDocument/2006/customXml" ds:itemID="{5DFD52F9-92B8-4634-925D-4E51A36A9D95}">
  <ds:schemaRefs/>
</ds:datastoreItem>
</file>

<file path=customXml/itemProps21.xml><?xml version="1.0" encoding="utf-8"?>
<ds:datastoreItem xmlns:ds="http://schemas.openxmlformats.org/officeDocument/2006/customXml" ds:itemID="{DFDCF600-C9B7-46CE-9937-5C8B7E215672}">
  <ds:schemaRefs/>
</ds:datastoreItem>
</file>

<file path=customXml/itemProps22.xml><?xml version="1.0" encoding="utf-8"?>
<ds:datastoreItem xmlns:ds="http://schemas.openxmlformats.org/officeDocument/2006/customXml" ds:itemID="{885B7B87-9726-4C4E-ABFE-EEE2B6F756BF}">
  <ds:schemaRefs/>
</ds:datastoreItem>
</file>

<file path=customXml/itemProps23.xml><?xml version="1.0" encoding="utf-8"?>
<ds:datastoreItem xmlns:ds="http://schemas.openxmlformats.org/officeDocument/2006/customXml" ds:itemID="{7B109E8E-24DD-4803-A559-F698D13847F8}">
  <ds:schemaRefs/>
</ds:datastoreItem>
</file>

<file path=customXml/itemProps24.xml><?xml version="1.0" encoding="utf-8"?>
<ds:datastoreItem xmlns:ds="http://schemas.openxmlformats.org/officeDocument/2006/customXml" ds:itemID="{E755D254-A09B-4175-9E81-2BE2052265FB}">
  <ds:schemaRefs/>
</ds:datastoreItem>
</file>

<file path=customXml/itemProps25.xml><?xml version="1.0" encoding="utf-8"?>
<ds:datastoreItem xmlns:ds="http://schemas.openxmlformats.org/officeDocument/2006/customXml" ds:itemID="{12F23B35-A29A-4770-AD71-F8A0A0585E77}">
  <ds:schemaRefs/>
</ds:datastoreItem>
</file>

<file path=customXml/itemProps26.xml><?xml version="1.0" encoding="utf-8"?>
<ds:datastoreItem xmlns:ds="http://schemas.openxmlformats.org/officeDocument/2006/customXml" ds:itemID="{A8FB9450-0369-418C-88EE-893CCBB7D686}">
  <ds:schemaRefs/>
</ds:datastoreItem>
</file>

<file path=customXml/itemProps27.xml><?xml version="1.0" encoding="utf-8"?>
<ds:datastoreItem xmlns:ds="http://schemas.openxmlformats.org/officeDocument/2006/customXml" ds:itemID="{ABA10D25-4392-4DE6-B0C6-12FE26BF42E9}">
  <ds:schemaRefs/>
</ds:datastoreItem>
</file>

<file path=customXml/itemProps28.xml><?xml version="1.0" encoding="utf-8"?>
<ds:datastoreItem xmlns:ds="http://schemas.openxmlformats.org/officeDocument/2006/customXml" ds:itemID="{9B6A0913-1321-40CB-9BCD-E9733769E5C8}">
  <ds:schemaRefs/>
</ds:datastoreItem>
</file>

<file path=customXml/itemProps29.xml><?xml version="1.0" encoding="utf-8"?>
<ds:datastoreItem xmlns:ds="http://schemas.openxmlformats.org/officeDocument/2006/customXml" ds:itemID="{47F6BDEF-AD0A-4BD2-AEA9-90A4859D4387}">
  <ds:schemaRefs/>
</ds:datastoreItem>
</file>

<file path=customXml/itemProps30.xml><?xml version="1.0" encoding="utf-8"?>
<ds:datastoreItem xmlns:ds="http://schemas.openxmlformats.org/officeDocument/2006/customXml" ds:itemID="{8CC1C76C-DF49-4A18-86DE-4BD83D739439}">
  <ds:schemaRefs/>
</ds:datastoreItem>
</file>

<file path=customXml/itemProps31.xml><?xml version="1.0" encoding="utf-8"?>
<ds:datastoreItem xmlns:ds="http://schemas.openxmlformats.org/officeDocument/2006/customXml" ds:itemID="{9B260FC3-7A52-4C5F-8133-FBDB6CF09BED}">
  <ds:schemaRefs/>
</ds:datastoreItem>
</file>

<file path=customXml/itemProps32.xml><?xml version="1.0" encoding="utf-8"?>
<ds:datastoreItem xmlns:ds="http://schemas.openxmlformats.org/officeDocument/2006/customXml" ds:itemID="{5C73FAA6-2726-4303-8BF2-383C03C02EEE}">
  <ds:schemaRefs/>
</ds:datastoreItem>
</file>

<file path=customXml/itemProps33.xml><?xml version="1.0" encoding="utf-8"?>
<ds:datastoreItem xmlns:ds="http://schemas.openxmlformats.org/officeDocument/2006/customXml" ds:itemID="{3A45C730-FA34-4C24-8D67-18B6A6AEEBE2}">
  <ds:schemaRefs/>
</ds:datastoreItem>
</file>

<file path=customXml/itemProps34.xml><?xml version="1.0" encoding="utf-8"?>
<ds:datastoreItem xmlns:ds="http://schemas.openxmlformats.org/officeDocument/2006/customXml" ds:itemID="{AD93AF1E-A13F-4709-892F-FABDFCB97E9F}">
  <ds:schemaRefs/>
</ds:datastoreItem>
</file>

<file path=customXml/itemProps35.xml><?xml version="1.0" encoding="utf-8"?>
<ds:datastoreItem xmlns:ds="http://schemas.openxmlformats.org/officeDocument/2006/customXml" ds:itemID="{D63792FF-14A8-4365-BA77-F9DD76A6EE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 Benit Veronica J</dc:creator>
  <cp:lastModifiedBy>Angel Benit Veronica J</cp:lastModifiedBy>
  <dcterms:created xsi:type="dcterms:W3CDTF">2026-02-27T08:00:59Z</dcterms:created>
  <dcterms:modified xsi:type="dcterms:W3CDTF">2026-05-07T12:25:16Z</dcterms:modified>
</cp:coreProperties>
</file>